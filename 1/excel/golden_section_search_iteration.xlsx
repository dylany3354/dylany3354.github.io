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3a6dd0348f42f2e/Documents/4A/SYDE 572/Assignments/Assignment 1/excel/"/>
    </mc:Choice>
  </mc:AlternateContent>
  <xr:revisionPtr revIDLastSave="26" documentId="11_3A6A3A01B56A4A21BBDBA839FC5663F7BFED345D" xr6:coauthVersionLast="47" xr6:coauthVersionMax="47" xr10:uidLastSave="{72429019-B6D5-4031-B767-1FDBB5E0B514}"/>
  <bookViews>
    <workbookView xWindow="35880" yWindow="3540" windowWidth="29040" windowHeight="15720" tabRatio="500" xr2:uid="{00000000-000D-0000-FFFF-FFFF00000000}"/>
  </bookViews>
  <sheets>
    <sheet name="Summary" sheetId="1" r:id="rId1"/>
    <sheet name="Point (0,0)" sheetId="2" r:id="rId2"/>
    <sheet name="Point (-4,0)" sheetId="3" r:id="rId3"/>
    <sheet name="Point (-8,0)" sheetId="4" r:id="rId4"/>
    <sheet name="Point (2,0)" sheetId="5" r:id="rId5"/>
    <sheet name="Point (6,0)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6" l="1"/>
  <c r="B13" i="6"/>
  <c r="F3" i="6"/>
  <c r="F4" i="6" s="1"/>
  <c r="C13" i="5"/>
  <c r="F13" i="5" s="1"/>
  <c r="H13" i="5" s="1"/>
  <c r="B13" i="5"/>
  <c r="F4" i="5"/>
  <c r="F3" i="5"/>
  <c r="C13" i="4"/>
  <c r="D13" i="4" s="1"/>
  <c r="J13" i="4" s="1"/>
  <c r="B13" i="4"/>
  <c r="F3" i="4"/>
  <c r="F4" i="4" s="1"/>
  <c r="E13" i="4" s="1"/>
  <c r="G13" i="4" s="1"/>
  <c r="C13" i="3"/>
  <c r="D13" i="3" s="1"/>
  <c r="J13" i="3" s="1"/>
  <c r="B13" i="3"/>
  <c r="F3" i="3"/>
  <c r="F4" i="3" s="1"/>
  <c r="C13" i="2"/>
  <c r="B13" i="2"/>
  <c r="E13" i="2" s="1"/>
  <c r="G13" i="2" s="1"/>
  <c r="F3" i="2"/>
  <c r="F4" i="2" s="1"/>
  <c r="C8" i="1"/>
  <c r="B8" i="1"/>
  <c r="C7" i="1"/>
  <c r="B7" i="1"/>
  <c r="C6" i="1"/>
  <c r="B6" i="1"/>
  <c r="C5" i="1"/>
  <c r="B5" i="1"/>
  <c r="C4" i="1"/>
  <c r="B4" i="1"/>
  <c r="E13" i="6" l="1"/>
  <c r="G13" i="6" s="1"/>
  <c r="F13" i="6"/>
  <c r="H13" i="6" s="1"/>
  <c r="B14" i="6" s="1"/>
  <c r="D13" i="6"/>
  <c r="J13" i="6" s="1"/>
  <c r="E13" i="5"/>
  <c r="G13" i="5" s="1"/>
  <c r="E13" i="3"/>
  <c r="G13" i="3" s="1"/>
  <c r="B14" i="3"/>
  <c r="D13" i="2"/>
  <c r="J13" i="2" s="1"/>
  <c r="F13" i="4"/>
  <c r="H13" i="4" s="1"/>
  <c r="C14" i="4" s="1"/>
  <c r="F13" i="3"/>
  <c r="H13" i="3" s="1"/>
  <c r="I13" i="3" s="1"/>
  <c r="F13" i="2"/>
  <c r="H13" i="2" s="1"/>
  <c r="D13" i="5"/>
  <c r="J13" i="5" s="1"/>
  <c r="C14" i="6" l="1"/>
  <c r="E14" i="6" s="1"/>
  <c r="G14" i="6" s="1"/>
  <c r="I13" i="6"/>
  <c r="C14" i="3"/>
  <c r="E14" i="3"/>
  <c r="G14" i="3" s="1"/>
  <c r="B14" i="2"/>
  <c r="I13" i="2"/>
  <c r="C14" i="2"/>
  <c r="D14" i="6"/>
  <c r="J14" i="6" s="1"/>
  <c r="F14" i="6"/>
  <c r="H14" i="6" s="1"/>
  <c r="F14" i="3"/>
  <c r="H14" i="3" s="1"/>
  <c r="D14" i="3"/>
  <c r="J14" i="3" s="1"/>
  <c r="I13" i="4"/>
  <c r="B14" i="4"/>
  <c r="E14" i="4" s="1"/>
  <c r="G14" i="4" s="1"/>
  <c r="C14" i="5"/>
  <c r="B14" i="5"/>
  <c r="E14" i="5" s="1"/>
  <c r="G14" i="5" s="1"/>
  <c r="I13" i="5"/>
  <c r="F14" i="2" l="1"/>
  <c r="H14" i="2" s="1"/>
  <c r="D14" i="2"/>
  <c r="J14" i="2" s="1"/>
  <c r="D14" i="5"/>
  <c r="J14" i="5" s="1"/>
  <c r="F14" i="5"/>
  <c r="H14" i="5" s="1"/>
  <c r="E14" i="2"/>
  <c r="G14" i="2" s="1"/>
  <c r="C15" i="6"/>
  <c r="I14" i="6"/>
  <c r="B15" i="6"/>
  <c r="E15" i="6" s="1"/>
  <c r="G15" i="6" s="1"/>
  <c r="B15" i="3"/>
  <c r="I14" i="3"/>
  <c r="C15" i="3"/>
  <c r="F14" i="4"/>
  <c r="H14" i="4" s="1"/>
  <c r="D14" i="4"/>
  <c r="J14" i="4" s="1"/>
  <c r="E15" i="3" l="1"/>
  <c r="G15" i="3" s="1"/>
  <c r="C15" i="5"/>
  <c r="B15" i="5"/>
  <c r="I14" i="5"/>
  <c r="C15" i="4"/>
  <c r="B15" i="4"/>
  <c r="I14" i="4"/>
  <c r="F15" i="6"/>
  <c r="H15" i="6" s="1"/>
  <c r="D15" i="6"/>
  <c r="J15" i="6" s="1"/>
  <c r="F15" i="3"/>
  <c r="H15" i="3" s="1"/>
  <c r="D15" i="3"/>
  <c r="J15" i="3" s="1"/>
  <c r="I14" i="2"/>
  <c r="C15" i="2"/>
  <c r="B15" i="2"/>
  <c r="E15" i="2" s="1"/>
  <c r="G15" i="2" s="1"/>
  <c r="E15" i="4" l="1"/>
  <c r="G15" i="4" s="1"/>
  <c r="F15" i="4"/>
  <c r="H15" i="4" s="1"/>
  <c r="D15" i="4"/>
  <c r="J15" i="4" s="1"/>
  <c r="F15" i="2"/>
  <c r="H15" i="2" s="1"/>
  <c r="D15" i="2"/>
  <c r="J15" i="2" s="1"/>
  <c r="I15" i="3"/>
  <c r="B16" i="3"/>
  <c r="C16" i="3"/>
  <c r="I15" i="6"/>
  <c r="C16" i="6"/>
  <c r="B16" i="6"/>
  <c r="E16" i="6" s="1"/>
  <c r="G16" i="6" s="1"/>
  <c r="E15" i="5"/>
  <c r="G15" i="5" s="1"/>
  <c r="F15" i="5"/>
  <c r="H15" i="5" s="1"/>
  <c r="D15" i="5"/>
  <c r="J15" i="5" s="1"/>
  <c r="F16" i="3" l="1"/>
  <c r="H16" i="3" s="1"/>
  <c r="D16" i="3"/>
  <c r="J16" i="3" s="1"/>
  <c r="E16" i="3"/>
  <c r="G16" i="3" s="1"/>
  <c r="B16" i="5"/>
  <c r="C16" i="5"/>
  <c r="I15" i="5"/>
  <c r="I15" i="2"/>
  <c r="C16" i="2"/>
  <c r="B16" i="2"/>
  <c r="F16" i="6"/>
  <c r="H16" i="6" s="1"/>
  <c r="D16" i="6"/>
  <c r="J16" i="6" s="1"/>
  <c r="B16" i="4"/>
  <c r="C16" i="4"/>
  <c r="I15" i="4"/>
  <c r="E16" i="4" l="1"/>
  <c r="G16" i="4" s="1"/>
  <c r="B17" i="6"/>
  <c r="C17" i="6"/>
  <c r="I16" i="6"/>
  <c r="D16" i="5"/>
  <c r="J16" i="5" s="1"/>
  <c r="F16" i="5"/>
  <c r="H16" i="5" s="1"/>
  <c r="E16" i="5"/>
  <c r="G16" i="5" s="1"/>
  <c r="E16" i="2"/>
  <c r="G16" i="2" s="1"/>
  <c r="I16" i="3"/>
  <c r="C17" i="3"/>
  <c r="B17" i="3"/>
  <c r="F16" i="4"/>
  <c r="H16" i="4" s="1"/>
  <c r="D16" i="4"/>
  <c r="J16" i="4" s="1"/>
  <c r="F16" i="2"/>
  <c r="H16" i="2" s="1"/>
  <c r="D16" i="2"/>
  <c r="J16" i="2" s="1"/>
  <c r="C17" i="4" l="1"/>
  <c r="B17" i="4"/>
  <c r="E17" i="4" s="1"/>
  <c r="G17" i="4" s="1"/>
  <c r="I16" i="4"/>
  <c r="I16" i="5"/>
  <c r="C17" i="5"/>
  <c r="B17" i="5"/>
  <c r="F17" i="3"/>
  <c r="H17" i="3" s="1"/>
  <c r="D17" i="3"/>
  <c r="J17" i="3" s="1"/>
  <c r="E17" i="3"/>
  <c r="G17" i="3" s="1"/>
  <c r="D17" i="6"/>
  <c r="J17" i="6" s="1"/>
  <c r="F17" i="6"/>
  <c r="H17" i="6" s="1"/>
  <c r="E17" i="6"/>
  <c r="G17" i="6" s="1"/>
  <c r="C17" i="2"/>
  <c r="B17" i="2"/>
  <c r="E17" i="2" s="1"/>
  <c r="G17" i="2" s="1"/>
  <c r="I16" i="2"/>
  <c r="E17" i="5" l="1"/>
  <c r="G17" i="5" s="1"/>
  <c r="D17" i="2"/>
  <c r="J17" i="2" s="1"/>
  <c r="F17" i="2"/>
  <c r="H17" i="2" s="1"/>
  <c r="D17" i="5"/>
  <c r="J17" i="5" s="1"/>
  <c r="F17" i="5"/>
  <c r="H17" i="5" s="1"/>
  <c r="C18" i="3"/>
  <c r="B18" i="3"/>
  <c r="E18" i="3" s="1"/>
  <c r="G18" i="3" s="1"/>
  <c r="I17" i="3"/>
  <c r="C18" i="6"/>
  <c r="I17" i="6"/>
  <c r="B18" i="6"/>
  <c r="E18" i="6" s="1"/>
  <c r="G18" i="6" s="1"/>
  <c r="D17" i="4"/>
  <c r="J17" i="4" s="1"/>
  <c r="F17" i="4"/>
  <c r="H17" i="4" s="1"/>
  <c r="I17" i="4" l="1"/>
  <c r="C18" i="4"/>
  <c r="B18" i="4"/>
  <c r="D18" i="3"/>
  <c r="J18" i="3" s="1"/>
  <c r="F18" i="3"/>
  <c r="H18" i="3" s="1"/>
  <c r="C18" i="5"/>
  <c r="I17" i="5"/>
  <c r="B18" i="5"/>
  <c r="F18" i="6"/>
  <c r="H18" i="6" s="1"/>
  <c r="D18" i="6"/>
  <c r="J18" i="6" s="1"/>
  <c r="C18" i="2"/>
  <c r="B18" i="2"/>
  <c r="E18" i="2" s="1"/>
  <c r="G18" i="2" s="1"/>
  <c r="I17" i="2"/>
  <c r="D18" i="5" l="1"/>
  <c r="J18" i="5" s="1"/>
  <c r="F18" i="5"/>
  <c r="H18" i="5" s="1"/>
  <c r="F18" i="2"/>
  <c r="H18" i="2" s="1"/>
  <c r="D18" i="2"/>
  <c r="J18" i="2" s="1"/>
  <c r="B19" i="6"/>
  <c r="I18" i="6"/>
  <c r="C19" i="6"/>
  <c r="E18" i="4"/>
  <c r="G18" i="4" s="1"/>
  <c r="C19" i="3"/>
  <c r="B19" i="3"/>
  <c r="E19" i="3" s="1"/>
  <c r="G19" i="3" s="1"/>
  <c r="I18" i="3"/>
  <c r="D18" i="4"/>
  <c r="J18" i="4" s="1"/>
  <c r="F18" i="4"/>
  <c r="H18" i="4" s="1"/>
  <c r="E18" i="5"/>
  <c r="G18" i="5" s="1"/>
  <c r="E19" i="6" l="1"/>
  <c r="G19" i="6" s="1"/>
  <c r="F19" i="6"/>
  <c r="H19" i="6" s="1"/>
  <c r="D19" i="6"/>
  <c r="J19" i="6" s="1"/>
  <c r="C19" i="2"/>
  <c r="B19" i="2"/>
  <c r="I18" i="2"/>
  <c r="C19" i="4"/>
  <c r="B19" i="4"/>
  <c r="E19" i="4" s="1"/>
  <c r="G19" i="4" s="1"/>
  <c r="I18" i="4"/>
  <c r="F19" i="3"/>
  <c r="H19" i="3" s="1"/>
  <c r="D19" i="3"/>
  <c r="J19" i="3" s="1"/>
  <c r="B19" i="5"/>
  <c r="C19" i="5"/>
  <c r="I18" i="5"/>
  <c r="F19" i="4" l="1"/>
  <c r="H19" i="4" s="1"/>
  <c r="D19" i="4"/>
  <c r="J19" i="4" s="1"/>
  <c r="F19" i="5"/>
  <c r="H19" i="5" s="1"/>
  <c r="D19" i="5"/>
  <c r="J19" i="5" s="1"/>
  <c r="E19" i="2"/>
  <c r="G19" i="2" s="1"/>
  <c r="D19" i="2"/>
  <c r="J19" i="2" s="1"/>
  <c r="F19" i="2"/>
  <c r="H19" i="2" s="1"/>
  <c r="E19" i="5"/>
  <c r="G19" i="5" s="1"/>
  <c r="C20" i="3"/>
  <c r="B20" i="3"/>
  <c r="E20" i="3" s="1"/>
  <c r="G20" i="3" s="1"/>
  <c r="I19" i="3"/>
  <c r="C20" i="6"/>
  <c r="B20" i="6"/>
  <c r="E20" i="6" s="1"/>
  <c r="G20" i="6" s="1"/>
  <c r="I19" i="6"/>
  <c r="B20" i="2" l="1"/>
  <c r="I19" i="2"/>
  <c r="C20" i="2"/>
  <c r="D20" i="6"/>
  <c r="J20" i="6" s="1"/>
  <c r="F20" i="6"/>
  <c r="H20" i="6" s="1"/>
  <c r="C20" i="5"/>
  <c r="B20" i="5"/>
  <c r="E20" i="5" s="1"/>
  <c r="G20" i="5" s="1"/>
  <c r="I19" i="5"/>
  <c r="B20" i="4"/>
  <c r="C20" i="4"/>
  <c r="I19" i="4"/>
  <c r="F20" i="3"/>
  <c r="H20" i="3" s="1"/>
  <c r="D20" i="3"/>
  <c r="J20" i="3" s="1"/>
  <c r="B21" i="3" l="1"/>
  <c r="I20" i="3"/>
  <c r="C21" i="3"/>
  <c r="D20" i="2"/>
  <c r="J20" i="2" s="1"/>
  <c r="F20" i="2"/>
  <c r="H20" i="2" s="1"/>
  <c r="F20" i="5"/>
  <c r="H20" i="5" s="1"/>
  <c r="D20" i="5"/>
  <c r="J20" i="5" s="1"/>
  <c r="C21" i="6"/>
  <c r="I20" i="6"/>
  <c r="B21" i="6"/>
  <c r="F20" i="4"/>
  <c r="H20" i="4" s="1"/>
  <c r="D20" i="4"/>
  <c r="J20" i="4" s="1"/>
  <c r="E20" i="4"/>
  <c r="G20" i="4" s="1"/>
  <c r="E20" i="2"/>
  <c r="G20" i="2" s="1"/>
  <c r="F21" i="6" l="1"/>
  <c r="H21" i="6" s="1"/>
  <c r="D21" i="6"/>
  <c r="J21" i="6" s="1"/>
  <c r="I20" i="4"/>
  <c r="B21" i="4"/>
  <c r="C21" i="4"/>
  <c r="D21" i="3"/>
  <c r="J21" i="3" s="1"/>
  <c r="F21" i="3"/>
  <c r="H21" i="3" s="1"/>
  <c r="C21" i="2"/>
  <c r="I20" i="2"/>
  <c r="B21" i="2"/>
  <c r="E21" i="6"/>
  <c r="G21" i="6" s="1"/>
  <c r="I20" i="5"/>
  <c r="B21" i="5"/>
  <c r="C21" i="5"/>
  <c r="E21" i="3"/>
  <c r="G21" i="3" s="1"/>
  <c r="E21" i="4" l="1"/>
  <c r="G21" i="4" s="1"/>
  <c r="C22" i="3"/>
  <c r="I21" i="3"/>
  <c r="B22" i="3"/>
  <c r="E22" i="3" s="1"/>
  <c r="G22" i="3" s="1"/>
  <c r="E21" i="5"/>
  <c r="G21" i="5" s="1"/>
  <c r="F21" i="4"/>
  <c r="H21" i="4" s="1"/>
  <c r="D21" i="4"/>
  <c r="J21" i="4" s="1"/>
  <c r="F21" i="2"/>
  <c r="H21" i="2" s="1"/>
  <c r="D21" i="2"/>
  <c r="J21" i="2" s="1"/>
  <c r="D21" i="5"/>
  <c r="J21" i="5" s="1"/>
  <c r="F21" i="5"/>
  <c r="H21" i="5" s="1"/>
  <c r="B22" i="6"/>
  <c r="I21" i="6"/>
  <c r="C22" i="6"/>
  <c r="E21" i="2"/>
  <c r="G21" i="2" s="1"/>
  <c r="I21" i="4" l="1"/>
  <c r="C22" i="4"/>
  <c r="B22" i="4"/>
  <c r="E22" i="4" s="1"/>
  <c r="G22" i="4" s="1"/>
  <c r="D22" i="6"/>
  <c r="J22" i="6" s="1"/>
  <c r="F22" i="6"/>
  <c r="H22" i="6" s="1"/>
  <c r="B22" i="2"/>
  <c r="I21" i="2"/>
  <c r="C22" i="2"/>
  <c r="E22" i="6"/>
  <c r="G22" i="6" s="1"/>
  <c r="C22" i="5"/>
  <c r="I21" i="5"/>
  <c r="B22" i="5"/>
  <c r="E22" i="5" s="1"/>
  <c r="G22" i="5" s="1"/>
  <c r="F22" i="3"/>
  <c r="H22" i="3" s="1"/>
  <c r="D22" i="3"/>
  <c r="J22" i="3" s="1"/>
  <c r="F22" i="2" l="1"/>
  <c r="H22" i="2" s="1"/>
  <c r="D22" i="2"/>
  <c r="J22" i="2" s="1"/>
  <c r="E22" i="2"/>
  <c r="G22" i="2" s="1"/>
  <c r="B23" i="3"/>
  <c r="I22" i="3"/>
  <c r="C23" i="3"/>
  <c r="D22" i="5"/>
  <c r="J22" i="5" s="1"/>
  <c r="F22" i="5"/>
  <c r="H22" i="5" s="1"/>
  <c r="C23" i="6"/>
  <c r="B23" i="6"/>
  <c r="I22" i="6"/>
  <c r="D22" i="4"/>
  <c r="J22" i="4" s="1"/>
  <c r="F22" i="4"/>
  <c r="H22" i="4" s="1"/>
  <c r="E23" i="3" l="1"/>
  <c r="G23" i="3" s="1"/>
  <c r="C23" i="5"/>
  <c r="B23" i="5"/>
  <c r="E23" i="5" s="1"/>
  <c r="G23" i="5" s="1"/>
  <c r="I22" i="5"/>
  <c r="F23" i="3"/>
  <c r="H23" i="3" s="1"/>
  <c r="D23" i="3"/>
  <c r="J23" i="3" s="1"/>
  <c r="C23" i="4"/>
  <c r="B23" i="4"/>
  <c r="I22" i="4"/>
  <c r="E23" i="6"/>
  <c r="G23" i="6" s="1"/>
  <c r="C23" i="2"/>
  <c r="B23" i="2"/>
  <c r="E23" i="2" s="1"/>
  <c r="G23" i="2" s="1"/>
  <c r="I22" i="2"/>
  <c r="F23" i="6"/>
  <c r="H23" i="6" s="1"/>
  <c r="D23" i="6"/>
  <c r="J23" i="6" s="1"/>
  <c r="F23" i="4" l="1"/>
  <c r="H23" i="4" s="1"/>
  <c r="D23" i="4"/>
  <c r="J23" i="4" s="1"/>
  <c r="C24" i="3"/>
  <c r="B24" i="3"/>
  <c r="E24" i="3" s="1"/>
  <c r="G24" i="3" s="1"/>
  <c r="I23" i="3"/>
  <c r="E23" i="4"/>
  <c r="G23" i="4" s="1"/>
  <c r="I23" i="6"/>
  <c r="C24" i="6"/>
  <c r="B24" i="6"/>
  <c r="F23" i="2"/>
  <c r="H23" i="2" s="1"/>
  <c r="D23" i="2"/>
  <c r="J23" i="2" s="1"/>
  <c r="F23" i="5"/>
  <c r="H23" i="5" s="1"/>
  <c r="D23" i="5"/>
  <c r="J23" i="5" s="1"/>
  <c r="D24" i="6" l="1"/>
  <c r="J24" i="6" s="1"/>
  <c r="F24" i="6"/>
  <c r="H24" i="6" s="1"/>
  <c r="F24" i="3"/>
  <c r="H24" i="3" s="1"/>
  <c r="D24" i="3"/>
  <c r="J24" i="3" s="1"/>
  <c r="I23" i="2"/>
  <c r="C24" i="2"/>
  <c r="B24" i="2"/>
  <c r="E24" i="2" s="1"/>
  <c r="G24" i="2" s="1"/>
  <c r="B24" i="4"/>
  <c r="I23" i="4"/>
  <c r="C24" i="4"/>
  <c r="B24" i="5"/>
  <c r="I23" i="5"/>
  <c r="C24" i="5"/>
  <c r="E24" i="6"/>
  <c r="G24" i="6" s="1"/>
  <c r="E24" i="4" l="1"/>
  <c r="G24" i="4" s="1"/>
  <c r="F24" i="2"/>
  <c r="H24" i="2" s="1"/>
  <c r="D24" i="2"/>
  <c r="J24" i="2" s="1"/>
  <c r="F24" i="5"/>
  <c r="H24" i="5" s="1"/>
  <c r="D24" i="5"/>
  <c r="J24" i="5" s="1"/>
  <c r="E24" i="5"/>
  <c r="G24" i="5" s="1"/>
  <c r="I24" i="3"/>
  <c r="C25" i="3"/>
  <c r="B25" i="3"/>
  <c r="F24" i="4"/>
  <c r="H24" i="4" s="1"/>
  <c r="D24" i="4"/>
  <c r="J24" i="4" s="1"/>
  <c r="B25" i="6"/>
  <c r="C25" i="6"/>
  <c r="I24" i="6"/>
  <c r="E25" i="3" l="1"/>
  <c r="G25" i="3" s="1"/>
  <c r="F25" i="3"/>
  <c r="H25" i="3" s="1"/>
  <c r="D25" i="3"/>
  <c r="J25" i="3" s="1"/>
  <c r="E25" i="6"/>
  <c r="G25" i="6" s="1"/>
  <c r="D25" i="6"/>
  <c r="J25" i="6" s="1"/>
  <c r="F25" i="6"/>
  <c r="H25" i="6" s="1"/>
  <c r="C25" i="4"/>
  <c r="B25" i="4"/>
  <c r="E25" i="4" s="1"/>
  <c r="G25" i="4" s="1"/>
  <c r="I24" i="4"/>
  <c r="C25" i="2"/>
  <c r="B25" i="2"/>
  <c r="E25" i="2" s="1"/>
  <c r="G25" i="2" s="1"/>
  <c r="I24" i="2"/>
  <c r="I24" i="5"/>
  <c r="B25" i="5"/>
  <c r="C25" i="5"/>
  <c r="E25" i="5" l="1"/>
  <c r="G25" i="5" s="1"/>
  <c r="D25" i="5"/>
  <c r="J25" i="5" s="1"/>
  <c r="F25" i="5"/>
  <c r="H25" i="5" s="1"/>
  <c r="D25" i="4"/>
  <c r="J25" i="4" s="1"/>
  <c r="F25" i="4"/>
  <c r="H25" i="4" s="1"/>
  <c r="C26" i="6"/>
  <c r="I25" i="6"/>
  <c r="B26" i="6"/>
  <c r="E26" i="6" s="1"/>
  <c r="G26" i="6" s="1"/>
  <c r="C26" i="3"/>
  <c r="B26" i="3"/>
  <c r="I25" i="3"/>
  <c r="D25" i="2"/>
  <c r="J25" i="2" s="1"/>
  <c r="F25" i="2"/>
  <c r="H25" i="2" s="1"/>
  <c r="F26" i="6" l="1"/>
  <c r="H26" i="6" s="1"/>
  <c r="D26" i="6"/>
  <c r="J26" i="6" s="1"/>
  <c r="I25" i="4"/>
  <c r="C26" i="4"/>
  <c r="B26" i="4"/>
  <c r="E26" i="4" s="1"/>
  <c r="G26" i="4" s="1"/>
  <c r="D26" i="3"/>
  <c r="J26" i="3" s="1"/>
  <c r="F26" i="3"/>
  <c r="H26" i="3" s="1"/>
  <c r="C26" i="2"/>
  <c r="B26" i="2"/>
  <c r="I25" i="2"/>
  <c r="E26" i="3"/>
  <c r="G26" i="3" s="1"/>
  <c r="C26" i="5"/>
  <c r="I25" i="5"/>
  <c r="B26" i="5"/>
  <c r="E26" i="5" s="1"/>
  <c r="G26" i="5" s="1"/>
  <c r="C27" i="3" l="1"/>
  <c r="B27" i="3"/>
  <c r="E27" i="3" s="1"/>
  <c r="G27" i="3" s="1"/>
  <c r="I26" i="3"/>
  <c r="F26" i="2"/>
  <c r="H26" i="2" s="1"/>
  <c r="D26" i="2"/>
  <c r="J26" i="2" s="1"/>
  <c r="D26" i="4"/>
  <c r="J26" i="4" s="1"/>
  <c r="F26" i="4"/>
  <c r="H26" i="4" s="1"/>
  <c r="B27" i="6"/>
  <c r="I26" i="6"/>
  <c r="C27" i="6"/>
  <c r="D26" i="5"/>
  <c r="J26" i="5" s="1"/>
  <c r="F26" i="5"/>
  <c r="H26" i="5" s="1"/>
  <c r="E26" i="2"/>
  <c r="G26" i="2" s="1"/>
  <c r="E27" i="6" l="1"/>
  <c r="G27" i="6" s="1"/>
  <c r="C27" i="4"/>
  <c r="B27" i="4"/>
  <c r="E27" i="4" s="1"/>
  <c r="G27" i="4" s="1"/>
  <c r="I26" i="4"/>
  <c r="C27" i="2"/>
  <c r="B27" i="2"/>
  <c r="I26" i="2"/>
  <c r="D27" i="6"/>
  <c r="J27" i="6" s="1"/>
  <c r="F27" i="6"/>
  <c r="H27" i="6" s="1"/>
  <c r="B27" i="5"/>
  <c r="I26" i="5"/>
  <c r="C27" i="5"/>
  <c r="F27" i="3"/>
  <c r="H27" i="3" s="1"/>
  <c r="D27" i="3"/>
  <c r="J27" i="3" s="1"/>
  <c r="E27" i="2" l="1"/>
  <c r="G27" i="2" s="1"/>
  <c r="C28" i="6"/>
  <c r="B28" i="6"/>
  <c r="E28" i="6" s="1"/>
  <c r="G28" i="6" s="1"/>
  <c r="I27" i="6"/>
  <c r="C28" i="3"/>
  <c r="B28" i="3"/>
  <c r="I27" i="3"/>
  <c r="D27" i="2"/>
  <c r="J27" i="2" s="1"/>
  <c r="F27" i="2"/>
  <c r="H27" i="2" s="1"/>
  <c r="F27" i="5"/>
  <c r="H27" i="5" s="1"/>
  <c r="D27" i="5"/>
  <c r="J27" i="5" s="1"/>
  <c r="E27" i="5"/>
  <c r="G27" i="5" s="1"/>
  <c r="F27" i="4"/>
  <c r="H27" i="4" s="1"/>
  <c r="D27" i="4"/>
  <c r="J27" i="4" s="1"/>
  <c r="E28" i="3" l="1"/>
  <c r="G28" i="3" s="1"/>
  <c r="B28" i="2"/>
  <c r="I27" i="2"/>
  <c r="C28" i="2"/>
  <c r="B28" i="4"/>
  <c r="E28" i="4" s="1"/>
  <c r="G28" i="4" s="1"/>
  <c r="C28" i="4"/>
  <c r="I27" i="4"/>
  <c r="F28" i="3"/>
  <c r="H28" i="3" s="1"/>
  <c r="D28" i="3"/>
  <c r="J28" i="3" s="1"/>
  <c r="C28" i="5"/>
  <c r="I27" i="5"/>
  <c r="B28" i="5"/>
  <c r="E28" i="5" s="1"/>
  <c r="G28" i="5" s="1"/>
  <c r="D28" i="6"/>
  <c r="J28" i="6" s="1"/>
  <c r="F28" i="6"/>
  <c r="H28" i="6" s="1"/>
  <c r="B29" i="3" l="1"/>
  <c r="I28" i="3"/>
  <c r="C29" i="3"/>
  <c r="D28" i="2"/>
  <c r="J28" i="2" s="1"/>
  <c r="F28" i="2"/>
  <c r="H28" i="2" s="1"/>
  <c r="C29" i="6"/>
  <c r="I28" i="6"/>
  <c r="B29" i="6"/>
  <c r="E29" i="6" s="1"/>
  <c r="G29" i="6" s="1"/>
  <c r="F28" i="4"/>
  <c r="H28" i="4" s="1"/>
  <c r="D28" i="4"/>
  <c r="J28" i="4" s="1"/>
  <c r="F28" i="5"/>
  <c r="H28" i="5" s="1"/>
  <c r="D28" i="5"/>
  <c r="J28" i="5" s="1"/>
  <c r="E28" i="2"/>
  <c r="G28" i="2" s="1"/>
  <c r="F29" i="6" l="1"/>
  <c r="H29" i="6" s="1"/>
  <c r="D29" i="6"/>
  <c r="J29" i="6" s="1"/>
  <c r="I28" i="5"/>
  <c r="B29" i="5"/>
  <c r="C29" i="5"/>
  <c r="C29" i="2"/>
  <c r="I28" i="2"/>
  <c r="B29" i="2"/>
  <c r="D29" i="3"/>
  <c r="J29" i="3" s="1"/>
  <c r="F29" i="3"/>
  <c r="H29" i="3" s="1"/>
  <c r="I28" i="4"/>
  <c r="C29" i="4"/>
  <c r="B29" i="4"/>
  <c r="E29" i="3"/>
  <c r="G29" i="3" s="1"/>
  <c r="E29" i="4" l="1"/>
  <c r="G29" i="4" s="1"/>
  <c r="E29" i="2"/>
  <c r="G29" i="2" s="1"/>
  <c r="D29" i="5"/>
  <c r="J29" i="5" s="1"/>
  <c r="F29" i="5"/>
  <c r="H29" i="5" s="1"/>
  <c r="F29" i="2"/>
  <c r="H29" i="2" s="1"/>
  <c r="D29" i="2"/>
  <c r="J29" i="2" s="1"/>
  <c r="F29" i="4"/>
  <c r="H29" i="4" s="1"/>
  <c r="D29" i="4"/>
  <c r="J29" i="4" s="1"/>
  <c r="B30" i="6"/>
  <c r="C30" i="6"/>
  <c r="I29" i="6"/>
  <c r="E29" i="5"/>
  <c r="G29" i="5" s="1"/>
  <c r="C30" i="3"/>
  <c r="I29" i="3"/>
  <c r="B30" i="3"/>
  <c r="E30" i="3" l="1"/>
  <c r="G30" i="3" s="1"/>
  <c r="C30" i="4"/>
  <c r="I29" i="4"/>
  <c r="B30" i="4"/>
  <c r="E30" i="4" s="1"/>
  <c r="G30" i="4" s="1"/>
  <c r="E30" i="6"/>
  <c r="G30" i="6" s="1"/>
  <c r="B30" i="2"/>
  <c r="I29" i="2"/>
  <c r="C30" i="2"/>
  <c r="F30" i="3"/>
  <c r="H30" i="3" s="1"/>
  <c r="D30" i="3"/>
  <c r="J30" i="3" s="1"/>
  <c r="D30" i="6"/>
  <c r="J30" i="6" s="1"/>
  <c r="F30" i="6"/>
  <c r="H30" i="6" s="1"/>
  <c r="C30" i="5"/>
  <c r="B30" i="5"/>
  <c r="I29" i="5"/>
  <c r="E30" i="2" l="1"/>
  <c r="G30" i="2" s="1"/>
  <c r="F30" i="2"/>
  <c r="H30" i="2" s="1"/>
  <c r="D30" i="2"/>
  <c r="J30" i="2" s="1"/>
  <c r="D30" i="5"/>
  <c r="J30" i="5" s="1"/>
  <c r="F30" i="5"/>
  <c r="H30" i="5" s="1"/>
  <c r="C31" i="6"/>
  <c r="I30" i="6"/>
  <c r="B31" i="6"/>
  <c r="E30" i="5"/>
  <c r="G30" i="5" s="1"/>
  <c r="B31" i="3"/>
  <c r="I30" i="3"/>
  <c r="C31" i="3"/>
  <c r="F30" i="4"/>
  <c r="H30" i="4" s="1"/>
  <c r="D30" i="4"/>
  <c r="J30" i="4" s="1"/>
  <c r="E31" i="6" l="1"/>
  <c r="G31" i="6" s="1"/>
  <c r="F31" i="6"/>
  <c r="H31" i="6" s="1"/>
  <c r="D31" i="6"/>
  <c r="J31" i="6" s="1"/>
  <c r="B31" i="4"/>
  <c r="I30" i="4"/>
  <c r="C31" i="4"/>
  <c r="B31" i="2"/>
  <c r="I30" i="2"/>
  <c r="C31" i="2"/>
  <c r="F31" i="3"/>
  <c r="H31" i="3" s="1"/>
  <c r="D31" i="3"/>
  <c r="J31" i="3" s="1"/>
  <c r="C31" i="5"/>
  <c r="B31" i="5"/>
  <c r="E31" i="5" s="1"/>
  <c r="G31" i="5" s="1"/>
  <c r="I30" i="5"/>
  <c r="E31" i="3"/>
  <c r="G31" i="3" s="1"/>
  <c r="F31" i="2" l="1"/>
  <c r="H31" i="2" s="1"/>
  <c r="D31" i="2"/>
  <c r="J31" i="2" s="1"/>
  <c r="F31" i="4"/>
  <c r="H31" i="4" s="1"/>
  <c r="D31" i="4"/>
  <c r="J31" i="4" s="1"/>
  <c r="E31" i="2"/>
  <c r="G31" i="2" s="1"/>
  <c r="F31" i="5"/>
  <c r="H31" i="5" s="1"/>
  <c r="D31" i="5"/>
  <c r="J31" i="5" s="1"/>
  <c r="E31" i="4"/>
  <c r="G31" i="4" s="1"/>
  <c r="C32" i="3"/>
  <c r="I31" i="3"/>
  <c r="B32" i="3"/>
  <c r="E32" i="3" s="1"/>
  <c r="G32" i="3" s="1"/>
  <c r="I31" i="6"/>
  <c r="C32" i="6"/>
  <c r="B32" i="6"/>
  <c r="E32" i="6" s="1"/>
  <c r="G32" i="6" s="1"/>
  <c r="B32" i="5" l="1"/>
  <c r="I31" i="5"/>
  <c r="C32" i="5"/>
  <c r="F32" i="6"/>
  <c r="H32" i="6" s="1"/>
  <c r="D32" i="6"/>
  <c r="J32" i="6" s="1"/>
  <c r="I31" i="2"/>
  <c r="C32" i="2"/>
  <c r="B32" i="2"/>
  <c r="E32" i="2" s="1"/>
  <c r="G32" i="2" s="1"/>
  <c r="I31" i="4"/>
  <c r="C32" i="4"/>
  <c r="B32" i="4"/>
  <c r="E32" i="4" s="1"/>
  <c r="G32" i="4" s="1"/>
  <c r="F32" i="3"/>
  <c r="H32" i="3" s="1"/>
  <c r="D32" i="3"/>
  <c r="J32" i="3" s="1"/>
  <c r="I32" i="3" l="1"/>
  <c r="C33" i="3"/>
  <c r="B33" i="3"/>
  <c r="F32" i="2"/>
  <c r="H32" i="2" s="1"/>
  <c r="D32" i="2"/>
  <c r="J32" i="2" s="1"/>
  <c r="B33" i="6"/>
  <c r="C33" i="6"/>
  <c r="I32" i="6"/>
  <c r="F32" i="5"/>
  <c r="H32" i="5" s="1"/>
  <c r="D32" i="5"/>
  <c r="J32" i="5" s="1"/>
  <c r="F32" i="4"/>
  <c r="H32" i="4" s="1"/>
  <c r="D32" i="4"/>
  <c r="J32" i="4" s="1"/>
  <c r="E32" i="5"/>
  <c r="G32" i="5" s="1"/>
  <c r="D33" i="6" l="1"/>
  <c r="J33" i="6" s="1"/>
  <c r="F33" i="6"/>
  <c r="H33" i="6" s="1"/>
  <c r="C33" i="2"/>
  <c r="B33" i="2"/>
  <c r="E33" i="2" s="1"/>
  <c r="G33" i="2" s="1"/>
  <c r="I32" i="2"/>
  <c r="I32" i="4"/>
  <c r="C33" i="4"/>
  <c r="B33" i="4"/>
  <c r="E33" i="3"/>
  <c r="G33" i="3" s="1"/>
  <c r="E33" i="6"/>
  <c r="G33" i="6" s="1"/>
  <c r="I32" i="5"/>
  <c r="C33" i="5"/>
  <c r="B33" i="5"/>
  <c r="E33" i="5" s="1"/>
  <c r="G33" i="5" s="1"/>
  <c r="F33" i="3"/>
  <c r="H33" i="3" s="1"/>
  <c r="D33" i="3"/>
  <c r="J33" i="3" s="1"/>
  <c r="F33" i="4" l="1"/>
  <c r="H33" i="4" s="1"/>
  <c r="D33" i="4"/>
  <c r="J33" i="4" s="1"/>
  <c r="E33" i="4"/>
  <c r="G33" i="4" s="1"/>
  <c r="D33" i="5"/>
  <c r="J33" i="5" s="1"/>
  <c r="F33" i="5"/>
  <c r="H33" i="5" s="1"/>
  <c r="D33" i="2"/>
  <c r="J33" i="2" s="1"/>
  <c r="F33" i="2"/>
  <c r="H33" i="2" s="1"/>
  <c r="C34" i="3"/>
  <c r="B34" i="3"/>
  <c r="I33" i="3"/>
  <c r="C34" i="6"/>
  <c r="I33" i="6"/>
  <c r="B34" i="6"/>
  <c r="E34" i="6" l="1"/>
  <c r="G34" i="6" s="1"/>
  <c r="F34" i="3"/>
  <c r="H34" i="3" s="1"/>
  <c r="D34" i="3"/>
  <c r="J34" i="3" s="1"/>
  <c r="C34" i="2"/>
  <c r="B34" i="2"/>
  <c r="E34" i="2" s="1"/>
  <c r="G34" i="2" s="1"/>
  <c r="I33" i="2"/>
  <c r="C34" i="5"/>
  <c r="I33" i="5"/>
  <c r="B34" i="5"/>
  <c r="E34" i="5" s="1"/>
  <c r="G34" i="5" s="1"/>
  <c r="F34" i="6"/>
  <c r="H34" i="6" s="1"/>
  <c r="D34" i="6"/>
  <c r="J34" i="6" s="1"/>
  <c r="I33" i="4"/>
  <c r="C34" i="4"/>
  <c r="B34" i="4"/>
  <c r="E34" i="3"/>
  <c r="G34" i="3" s="1"/>
  <c r="E34" i="4" l="1"/>
  <c r="G34" i="4" s="1"/>
  <c r="F34" i="5"/>
  <c r="H34" i="5" s="1"/>
  <c r="D34" i="5"/>
  <c r="J34" i="5" s="1"/>
  <c r="F34" i="2"/>
  <c r="H34" i="2" s="1"/>
  <c r="D34" i="2"/>
  <c r="J34" i="2" s="1"/>
  <c r="C35" i="3"/>
  <c r="B35" i="3"/>
  <c r="E35" i="3" s="1"/>
  <c r="G35" i="3" s="1"/>
  <c r="I34" i="3"/>
  <c r="D34" i="4"/>
  <c r="J34" i="4" s="1"/>
  <c r="F34" i="4"/>
  <c r="H34" i="4" s="1"/>
  <c r="B35" i="6"/>
  <c r="I34" i="6"/>
  <c r="C35" i="6"/>
  <c r="F35" i="3" l="1"/>
  <c r="H35" i="3" s="1"/>
  <c r="D35" i="3"/>
  <c r="J35" i="3" s="1"/>
  <c r="I34" i="4"/>
  <c r="C35" i="4"/>
  <c r="B35" i="4"/>
  <c r="F35" i="6"/>
  <c r="H35" i="6" s="1"/>
  <c r="D35" i="6"/>
  <c r="J35" i="6" s="1"/>
  <c r="B35" i="5"/>
  <c r="I34" i="5"/>
  <c r="C35" i="5"/>
  <c r="C35" i="2"/>
  <c r="B35" i="2"/>
  <c r="I34" i="2"/>
  <c r="E35" i="6"/>
  <c r="G35" i="6" s="1"/>
  <c r="E35" i="5" l="1"/>
  <c r="G35" i="5" s="1"/>
  <c r="E35" i="2"/>
  <c r="G35" i="2" s="1"/>
  <c r="E35" i="4"/>
  <c r="G35" i="4" s="1"/>
  <c r="C36" i="6"/>
  <c r="B36" i="6"/>
  <c r="E36" i="6" s="1"/>
  <c r="G36" i="6" s="1"/>
  <c r="I35" i="6"/>
  <c r="F35" i="4"/>
  <c r="H35" i="4" s="1"/>
  <c r="D35" i="4"/>
  <c r="J35" i="4" s="1"/>
  <c r="D35" i="2"/>
  <c r="J35" i="2" s="1"/>
  <c r="F35" i="2"/>
  <c r="H35" i="2" s="1"/>
  <c r="F35" i="5"/>
  <c r="H35" i="5" s="1"/>
  <c r="D35" i="5"/>
  <c r="J35" i="5" s="1"/>
  <c r="C36" i="3"/>
  <c r="B36" i="3"/>
  <c r="E36" i="3" s="1"/>
  <c r="G36" i="3" s="1"/>
  <c r="I35" i="3"/>
  <c r="I35" i="4" l="1"/>
  <c r="B36" i="4"/>
  <c r="C36" i="4"/>
  <c r="B36" i="2"/>
  <c r="I35" i="2"/>
  <c r="C36" i="2"/>
  <c r="D36" i="3"/>
  <c r="J36" i="3" s="1"/>
  <c r="F36" i="3"/>
  <c r="H36" i="3" s="1"/>
  <c r="C36" i="5"/>
  <c r="B36" i="5"/>
  <c r="I35" i="5"/>
  <c r="D36" i="6"/>
  <c r="J36" i="6" s="1"/>
  <c r="F36" i="6"/>
  <c r="H36" i="6" s="1"/>
  <c r="D36" i="2" l="1"/>
  <c r="J36" i="2" s="1"/>
  <c r="F36" i="2"/>
  <c r="H36" i="2" s="1"/>
  <c r="C37" i="6"/>
  <c r="I36" i="6"/>
  <c r="B37" i="6"/>
  <c r="F36" i="5"/>
  <c r="H36" i="5" s="1"/>
  <c r="D36" i="5"/>
  <c r="J36" i="5" s="1"/>
  <c r="E36" i="2"/>
  <c r="G36" i="2" s="1"/>
  <c r="F36" i="4"/>
  <c r="H36" i="4" s="1"/>
  <c r="D36" i="4"/>
  <c r="J36" i="4" s="1"/>
  <c r="C37" i="3"/>
  <c r="B37" i="3"/>
  <c r="I36" i="3"/>
  <c r="E36" i="5"/>
  <c r="G36" i="5" s="1"/>
  <c r="E36" i="4"/>
  <c r="G36" i="4" s="1"/>
  <c r="E37" i="3" l="1"/>
  <c r="G37" i="3" s="1"/>
  <c r="E37" i="6"/>
  <c r="G37" i="6" s="1"/>
  <c r="F37" i="6"/>
  <c r="H37" i="6" s="1"/>
  <c r="D37" i="6"/>
  <c r="J37" i="6" s="1"/>
  <c r="I36" i="5"/>
  <c r="C37" i="5"/>
  <c r="B37" i="5"/>
  <c r="D37" i="3"/>
  <c r="J37" i="3" s="1"/>
  <c r="F37" i="3"/>
  <c r="H37" i="3" s="1"/>
  <c r="I36" i="4"/>
  <c r="C37" i="4"/>
  <c r="B37" i="4"/>
  <c r="E37" i="4" s="1"/>
  <c r="G37" i="4" s="1"/>
  <c r="C37" i="2"/>
  <c r="I36" i="2"/>
  <c r="B37" i="2"/>
  <c r="E37" i="2" s="1"/>
  <c r="G37" i="2" s="1"/>
  <c r="E37" i="5" l="1"/>
  <c r="G37" i="5" s="1"/>
  <c r="D37" i="5"/>
  <c r="J37" i="5" s="1"/>
  <c r="F37" i="5"/>
  <c r="H37" i="5" s="1"/>
  <c r="C38" i="3"/>
  <c r="B38" i="3"/>
  <c r="I37" i="3"/>
  <c r="F37" i="2"/>
  <c r="H37" i="2" s="1"/>
  <c r="D37" i="2"/>
  <c r="J37" i="2" s="1"/>
  <c r="B38" i="6"/>
  <c r="I37" i="6"/>
  <c r="C38" i="6"/>
  <c r="D37" i="4"/>
  <c r="J37" i="4" s="1"/>
  <c r="F37" i="4"/>
  <c r="H37" i="4" s="1"/>
  <c r="E38" i="6" l="1"/>
  <c r="G38" i="6" s="1"/>
  <c r="E38" i="3"/>
  <c r="G38" i="3" s="1"/>
  <c r="C38" i="4"/>
  <c r="I37" i="4"/>
  <c r="B38" i="4"/>
  <c r="E38" i="4" s="1"/>
  <c r="G38" i="4" s="1"/>
  <c r="B38" i="2"/>
  <c r="I37" i="2"/>
  <c r="C38" i="2"/>
  <c r="F38" i="3"/>
  <c r="H38" i="3" s="1"/>
  <c r="D38" i="3"/>
  <c r="J38" i="3" s="1"/>
  <c r="D38" i="6"/>
  <c r="J38" i="6" s="1"/>
  <c r="F38" i="6"/>
  <c r="H38" i="6" s="1"/>
  <c r="C38" i="5"/>
  <c r="B38" i="5"/>
  <c r="E38" i="5" s="1"/>
  <c r="G38" i="5" s="1"/>
  <c r="I37" i="5"/>
  <c r="F38" i="2" l="1"/>
  <c r="H38" i="2" s="1"/>
  <c r="D38" i="2"/>
  <c r="J38" i="2" s="1"/>
  <c r="E38" i="2"/>
  <c r="G38" i="2" s="1"/>
  <c r="F38" i="4"/>
  <c r="H38" i="4" s="1"/>
  <c r="D38" i="4"/>
  <c r="J38" i="4" s="1"/>
  <c r="F38" i="5"/>
  <c r="H38" i="5" s="1"/>
  <c r="D38" i="5"/>
  <c r="J38" i="5" s="1"/>
  <c r="C39" i="6"/>
  <c r="B39" i="6"/>
  <c r="I38" i="6"/>
  <c r="B39" i="3"/>
  <c r="I38" i="3"/>
  <c r="C39" i="3"/>
  <c r="B39" i="4" l="1"/>
  <c r="I38" i="4"/>
  <c r="C39" i="4"/>
  <c r="F39" i="6"/>
  <c r="H39" i="6" s="1"/>
  <c r="D39" i="6"/>
  <c r="J39" i="6" s="1"/>
  <c r="F39" i="3"/>
  <c r="H39" i="3" s="1"/>
  <c r="D39" i="3"/>
  <c r="J39" i="3" s="1"/>
  <c r="C39" i="2"/>
  <c r="B39" i="2"/>
  <c r="E39" i="2" s="1"/>
  <c r="G39" i="2" s="1"/>
  <c r="I38" i="2"/>
  <c r="C39" i="5"/>
  <c r="I38" i="5"/>
  <c r="B39" i="5"/>
  <c r="E39" i="3"/>
  <c r="G39" i="3" s="1"/>
  <c r="E39" i="6"/>
  <c r="G39" i="6" s="1"/>
  <c r="E39" i="5" l="1"/>
  <c r="G39" i="5" s="1"/>
  <c r="E39" i="4"/>
  <c r="G39" i="4" s="1"/>
  <c r="F39" i="2"/>
  <c r="H39" i="2" s="1"/>
  <c r="D39" i="2"/>
  <c r="J39" i="2" s="1"/>
  <c r="I39" i="6"/>
  <c r="C40" i="6"/>
  <c r="B40" i="6"/>
  <c r="I39" i="3"/>
  <c r="C40" i="3"/>
  <c r="B40" i="3"/>
  <c r="F39" i="4"/>
  <c r="H39" i="4" s="1"/>
  <c r="D39" i="4"/>
  <c r="J39" i="4" s="1"/>
  <c r="F39" i="5"/>
  <c r="H39" i="5" s="1"/>
  <c r="D39" i="5"/>
  <c r="J39" i="5" s="1"/>
  <c r="F40" i="3" l="1"/>
  <c r="H40" i="3" s="1"/>
  <c r="D40" i="3"/>
  <c r="J40" i="3" s="1"/>
  <c r="E40" i="6"/>
  <c r="G40" i="6" s="1"/>
  <c r="E40" i="3"/>
  <c r="G40" i="3" s="1"/>
  <c r="B40" i="5"/>
  <c r="C40" i="5"/>
  <c r="I39" i="5"/>
  <c r="F40" i="6"/>
  <c r="H40" i="6" s="1"/>
  <c r="D40" i="6"/>
  <c r="J40" i="6" s="1"/>
  <c r="B40" i="4"/>
  <c r="I39" i="4"/>
  <c r="C40" i="4"/>
  <c r="I39" i="2"/>
  <c r="C40" i="2"/>
  <c r="B40" i="2"/>
  <c r="E40" i="2" s="1"/>
  <c r="G40" i="2" s="1"/>
  <c r="D40" i="5" l="1"/>
  <c r="J40" i="5" s="1"/>
  <c r="F40" i="5"/>
  <c r="H40" i="5" s="1"/>
  <c r="E40" i="5"/>
  <c r="G40" i="5" s="1"/>
  <c r="F40" i="2"/>
  <c r="H40" i="2" s="1"/>
  <c r="D40" i="2"/>
  <c r="J40" i="2" s="1"/>
  <c r="F40" i="4"/>
  <c r="H40" i="4" s="1"/>
  <c r="D40" i="4"/>
  <c r="J40" i="4" s="1"/>
  <c r="E40" i="4"/>
  <c r="G40" i="4" s="1"/>
  <c r="I40" i="3"/>
  <c r="C41" i="3"/>
  <c r="B41" i="3"/>
  <c r="E41" i="3" s="1"/>
  <c r="G41" i="3" s="1"/>
  <c r="B41" i="6"/>
  <c r="C41" i="6"/>
  <c r="I40" i="6"/>
  <c r="I40" i="4" l="1"/>
  <c r="B41" i="4"/>
  <c r="C41" i="4"/>
  <c r="D41" i="6"/>
  <c r="J41" i="6" s="1"/>
  <c r="F41" i="6"/>
  <c r="H41" i="6" s="1"/>
  <c r="C41" i="2"/>
  <c r="B41" i="2"/>
  <c r="E41" i="2" s="1"/>
  <c r="G41" i="2" s="1"/>
  <c r="I40" i="2"/>
  <c r="E41" i="6"/>
  <c r="G41" i="6" s="1"/>
  <c r="F41" i="3"/>
  <c r="H41" i="3" s="1"/>
  <c r="D41" i="3"/>
  <c r="J41" i="3" s="1"/>
  <c r="C41" i="5"/>
  <c r="B41" i="5"/>
  <c r="I40" i="5"/>
  <c r="E41" i="5" l="1"/>
  <c r="G41" i="5" s="1"/>
  <c r="D41" i="2"/>
  <c r="J41" i="2" s="1"/>
  <c r="F41" i="2"/>
  <c r="H41" i="2" s="1"/>
  <c r="C42" i="6"/>
  <c r="I41" i="6"/>
  <c r="B42" i="6"/>
  <c r="F41" i="4"/>
  <c r="H41" i="4" s="1"/>
  <c r="D41" i="4"/>
  <c r="J41" i="4" s="1"/>
  <c r="D41" i="5"/>
  <c r="J41" i="5" s="1"/>
  <c r="F41" i="5"/>
  <c r="H41" i="5" s="1"/>
  <c r="C42" i="3"/>
  <c r="B42" i="3"/>
  <c r="E42" i="3" s="1"/>
  <c r="G42" i="3" s="1"/>
  <c r="I41" i="3"/>
  <c r="E41" i="4"/>
  <c r="G41" i="4" s="1"/>
  <c r="B42" i="4" l="1"/>
  <c r="C42" i="4"/>
  <c r="I41" i="4"/>
  <c r="E42" i="6"/>
  <c r="G42" i="6" s="1"/>
  <c r="F42" i="6"/>
  <c r="H42" i="6" s="1"/>
  <c r="D42" i="6"/>
  <c r="J42" i="6" s="1"/>
  <c r="B42" i="5"/>
  <c r="I41" i="5"/>
  <c r="C42" i="5"/>
  <c r="F42" i="3"/>
  <c r="H42" i="3" s="1"/>
  <c r="D42" i="3"/>
  <c r="J42" i="3" s="1"/>
  <c r="C42" i="2"/>
  <c r="B42" i="2"/>
  <c r="I41" i="2"/>
  <c r="E42" i="5" l="1"/>
  <c r="G42" i="5" s="1"/>
  <c r="E42" i="4"/>
  <c r="G42" i="4" s="1"/>
  <c r="E42" i="2"/>
  <c r="G42" i="2" s="1"/>
  <c r="C43" i="6"/>
  <c r="B43" i="6"/>
  <c r="E43" i="6" s="1"/>
  <c r="G43" i="6" s="1"/>
  <c r="I42" i="6"/>
  <c r="F42" i="5"/>
  <c r="H42" i="5" s="1"/>
  <c r="D42" i="5"/>
  <c r="J42" i="5" s="1"/>
  <c r="F42" i="2"/>
  <c r="H42" i="2" s="1"/>
  <c r="D42" i="2"/>
  <c r="J42" i="2" s="1"/>
  <c r="C43" i="3"/>
  <c r="B43" i="3"/>
  <c r="I42" i="3"/>
  <c r="F42" i="4"/>
  <c r="H42" i="4" s="1"/>
  <c r="D42" i="4"/>
  <c r="J42" i="4" s="1"/>
  <c r="C43" i="5" l="1"/>
  <c r="B43" i="5"/>
  <c r="E43" i="5" s="1"/>
  <c r="G43" i="5" s="1"/>
  <c r="I42" i="5"/>
  <c r="F43" i="3"/>
  <c r="H43" i="3" s="1"/>
  <c r="D43" i="3"/>
  <c r="J43" i="3" s="1"/>
  <c r="C43" i="2"/>
  <c r="B43" i="2"/>
  <c r="I42" i="2"/>
  <c r="B43" i="4"/>
  <c r="C43" i="4"/>
  <c r="I42" i="4"/>
  <c r="E43" i="3"/>
  <c r="G43" i="3" s="1"/>
  <c r="F43" i="6"/>
  <c r="H43" i="6" s="1"/>
  <c r="D43" i="6"/>
  <c r="J43" i="6" s="1"/>
  <c r="E43" i="2" l="1"/>
  <c r="G43" i="2" s="1"/>
  <c r="C44" i="3"/>
  <c r="B44" i="3"/>
  <c r="E44" i="3" s="1"/>
  <c r="G44" i="3" s="1"/>
  <c r="I43" i="3"/>
  <c r="F43" i="2"/>
  <c r="H43" i="2" s="1"/>
  <c r="D43" i="2"/>
  <c r="J43" i="2" s="1"/>
  <c r="F43" i="4"/>
  <c r="H43" i="4" s="1"/>
  <c r="D43" i="4"/>
  <c r="J43" i="4" s="1"/>
  <c r="B44" i="6"/>
  <c r="C44" i="6"/>
  <c r="I43" i="6"/>
  <c r="E43" i="4"/>
  <c r="G43" i="4" s="1"/>
  <c r="F43" i="5"/>
  <c r="H43" i="5" s="1"/>
  <c r="D43" i="5"/>
  <c r="J43" i="5" s="1"/>
  <c r="E44" i="6" l="1"/>
  <c r="G44" i="6" s="1"/>
  <c r="B44" i="2"/>
  <c r="I43" i="2"/>
  <c r="C44" i="2"/>
  <c r="B44" i="4"/>
  <c r="C44" i="4"/>
  <c r="I43" i="4"/>
  <c r="I43" i="5"/>
  <c r="C44" i="5"/>
  <c r="B44" i="5"/>
  <c r="E44" i="5" s="1"/>
  <c r="G44" i="5" s="1"/>
  <c r="D44" i="6"/>
  <c r="J44" i="6" s="1"/>
  <c r="F44" i="6"/>
  <c r="H44" i="6" s="1"/>
  <c r="D44" i="3"/>
  <c r="J44" i="3" s="1"/>
  <c r="F44" i="3"/>
  <c r="H44" i="3" s="1"/>
  <c r="E44" i="4" l="1"/>
  <c r="G44" i="4" s="1"/>
  <c r="E44" i="2"/>
  <c r="G44" i="2" s="1"/>
  <c r="F44" i="4"/>
  <c r="H44" i="4" s="1"/>
  <c r="D44" i="4"/>
  <c r="J44" i="4" s="1"/>
  <c r="F44" i="5"/>
  <c r="H44" i="5" s="1"/>
  <c r="D44" i="5"/>
  <c r="J44" i="5" s="1"/>
  <c r="D44" i="2"/>
  <c r="J44" i="2" s="1"/>
  <c r="F44" i="2"/>
  <c r="H44" i="2" s="1"/>
  <c r="C45" i="3"/>
  <c r="B45" i="3"/>
  <c r="I44" i="3"/>
  <c r="C45" i="6"/>
  <c r="I44" i="6"/>
  <c r="B45" i="6"/>
  <c r="E45" i="6" s="1"/>
  <c r="G45" i="6" s="1"/>
  <c r="D45" i="3" l="1"/>
  <c r="J45" i="3" s="1"/>
  <c r="F45" i="3"/>
  <c r="H45" i="3" s="1"/>
  <c r="C45" i="2"/>
  <c r="I44" i="2"/>
  <c r="B45" i="2"/>
  <c r="E45" i="3"/>
  <c r="G45" i="3" s="1"/>
  <c r="I44" i="5"/>
  <c r="B45" i="5"/>
  <c r="C45" i="5"/>
  <c r="F45" i="6"/>
  <c r="H45" i="6" s="1"/>
  <c r="D45" i="6"/>
  <c r="J45" i="6" s="1"/>
  <c r="B45" i="4"/>
  <c r="E45" i="4" s="1"/>
  <c r="G45" i="4" s="1"/>
  <c r="C45" i="4"/>
  <c r="I44" i="4"/>
  <c r="E45" i="5" l="1"/>
  <c r="G45" i="5" s="1"/>
  <c r="E45" i="2"/>
  <c r="G45" i="2" s="1"/>
  <c r="F45" i="2"/>
  <c r="H45" i="2" s="1"/>
  <c r="D45" i="2"/>
  <c r="J45" i="2" s="1"/>
  <c r="B46" i="6"/>
  <c r="I45" i="6"/>
  <c r="C46" i="6"/>
  <c r="D45" i="4"/>
  <c r="J45" i="4" s="1"/>
  <c r="F45" i="4"/>
  <c r="H45" i="4" s="1"/>
  <c r="F45" i="5"/>
  <c r="H45" i="5" s="1"/>
  <c r="D45" i="5"/>
  <c r="J45" i="5" s="1"/>
  <c r="C46" i="3"/>
  <c r="B46" i="3"/>
  <c r="E46" i="3" s="1"/>
  <c r="G46" i="3" s="1"/>
  <c r="I45" i="3"/>
  <c r="C46" i="4" l="1"/>
  <c r="B46" i="4"/>
  <c r="E46" i="4" s="1"/>
  <c r="G46" i="4" s="1"/>
  <c r="I45" i="4"/>
  <c r="D46" i="6"/>
  <c r="J46" i="6" s="1"/>
  <c r="F46" i="6"/>
  <c r="H46" i="6" s="1"/>
  <c r="E46" i="6"/>
  <c r="G46" i="6" s="1"/>
  <c r="F46" i="3"/>
  <c r="H46" i="3" s="1"/>
  <c r="D46" i="3"/>
  <c r="J46" i="3" s="1"/>
  <c r="B46" i="2"/>
  <c r="I45" i="2"/>
  <c r="C46" i="2"/>
  <c r="I45" i="5"/>
  <c r="C46" i="5"/>
  <c r="B46" i="5"/>
  <c r="F46" i="5" l="1"/>
  <c r="H46" i="5" s="1"/>
  <c r="D46" i="5"/>
  <c r="J46" i="5" s="1"/>
  <c r="B47" i="3"/>
  <c r="I46" i="3"/>
  <c r="C47" i="3"/>
  <c r="C47" i="6"/>
  <c r="B47" i="6"/>
  <c r="E47" i="6" s="1"/>
  <c r="G47" i="6" s="1"/>
  <c r="I46" i="6"/>
  <c r="E46" i="5"/>
  <c r="G46" i="5" s="1"/>
  <c r="F46" i="2"/>
  <c r="H46" i="2" s="1"/>
  <c r="D46" i="2"/>
  <c r="J46" i="2" s="1"/>
  <c r="E46" i="2"/>
  <c r="G46" i="2" s="1"/>
  <c r="F46" i="4"/>
  <c r="H46" i="4" s="1"/>
  <c r="D46" i="4"/>
  <c r="J46" i="4" s="1"/>
  <c r="F47" i="6" l="1"/>
  <c r="H47" i="6" s="1"/>
  <c r="D47" i="6"/>
  <c r="J47" i="6" s="1"/>
  <c r="B47" i="4"/>
  <c r="C47" i="4"/>
  <c r="I46" i="4"/>
  <c r="F47" i="3"/>
  <c r="H47" i="3" s="1"/>
  <c r="D47" i="3"/>
  <c r="J47" i="3" s="1"/>
  <c r="B47" i="2"/>
  <c r="I46" i="2"/>
  <c r="C47" i="2"/>
  <c r="E47" i="3"/>
  <c r="G47" i="3" s="1"/>
  <c r="C47" i="5"/>
  <c r="B47" i="5"/>
  <c r="E47" i="5" s="1"/>
  <c r="G47" i="5" s="1"/>
  <c r="I46" i="5"/>
  <c r="E47" i="2" l="1"/>
  <c r="G47" i="2" s="1"/>
  <c r="I47" i="3"/>
  <c r="C48" i="3"/>
  <c r="B48" i="3"/>
  <c r="E48" i="3" s="1"/>
  <c r="G48" i="3" s="1"/>
  <c r="D47" i="5"/>
  <c r="J47" i="5" s="1"/>
  <c r="F47" i="5"/>
  <c r="H47" i="5" s="1"/>
  <c r="E47" i="4"/>
  <c r="G47" i="4" s="1"/>
  <c r="D47" i="4"/>
  <c r="J47" i="4" s="1"/>
  <c r="F47" i="4"/>
  <c r="H47" i="4" s="1"/>
  <c r="F47" i="2"/>
  <c r="H47" i="2" s="1"/>
  <c r="D47" i="2"/>
  <c r="J47" i="2" s="1"/>
  <c r="I47" i="6"/>
  <c r="C48" i="6"/>
  <c r="B48" i="6"/>
  <c r="C48" i="4" l="1"/>
  <c r="B48" i="4"/>
  <c r="E48" i="4" s="1"/>
  <c r="G48" i="4" s="1"/>
  <c r="I47" i="4"/>
  <c r="E48" i="6"/>
  <c r="G48" i="6" s="1"/>
  <c r="B48" i="5"/>
  <c r="E48" i="5" s="1"/>
  <c r="G48" i="5" s="1"/>
  <c r="I47" i="5"/>
  <c r="C48" i="5"/>
  <c r="F48" i="6"/>
  <c r="H48" i="6" s="1"/>
  <c r="D48" i="6"/>
  <c r="J48" i="6" s="1"/>
  <c r="I47" i="2"/>
  <c r="C48" i="2"/>
  <c r="B48" i="2"/>
  <c r="E48" i="2" s="1"/>
  <c r="G48" i="2" s="1"/>
  <c r="F48" i="3"/>
  <c r="H48" i="3" s="1"/>
  <c r="D48" i="3"/>
  <c r="J48" i="3" s="1"/>
  <c r="D48" i="5" l="1"/>
  <c r="J48" i="5" s="1"/>
  <c r="F48" i="5"/>
  <c r="H48" i="5" s="1"/>
  <c r="I48" i="3"/>
  <c r="C49" i="3"/>
  <c r="B49" i="3"/>
  <c r="F48" i="2"/>
  <c r="H48" i="2" s="1"/>
  <c r="D48" i="2"/>
  <c r="J48" i="2" s="1"/>
  <c r="B49" i="6"/>
  <c r="C49" i="6"/>
  <c r="I48" i="6"/>
  <c r="D48" i="4"/>
  <c r="J48" i="4" s="1"/>
  <c r="F48" i="4"/>
  <c r="H48" i="4" s="1"/>
  <c r="E49" i="3" l="1"/>
  <c r="G49" i="3" s="1"/>
  <c r="E49" i="6"/>
  <c r="G49" i="6" s="1"/>
  <c r="F49" i="3"/>
  <c r="H49" i="3" s="1"/>
  <c r="D49" i="3"/>
  <c r="J49" i="3" s="1"/>
  <c r="D49" i="6"/>
  <c r="J49" i="6" s="1"/>
  <c r="F49" i="6"/>
  <c r="H49" i="6" s="1"/>
  <c r="C49" i="2"/>
  <c r="B49" i="2"/>
  <c r="E49" i="2" s="1"/>
  <c r="G49" i="2" s="1"/>
  <c r="I48" i="2"/>
  <c r="I48" i="4"/>
  <c r="C49" i="4"/>
  <c r="B49" i="4"/>
  <c r="E49" i="4" s="1"/>
  <c r="G49" i="4" s="1"/>
  <c r="C49" i="5"/>
  <c r="B49" i="5"/>
  <c r="I48" i="5"/>
  <c r="E49" i="5" l="1"/>
  <c r="G49" i="5" s="1"/>
  <c r="F49" i="5"/>
  <c r="H49" i="5" s="1"/>
  <c r="D49" i="5"/>
  <c r="J49" i="5" s="1"/>
  <c r="D49" i="2"/>
  <c r="J49" i="2" s="1"/>
  <c r="F49" i="2"/>
  <c r="H49" i="2" s="1"/>
  <c r="C50" i="6"/>
  <c r="I49" i="6"/>
  <c r="B50" i="6"/>
  <c r="C50" i="3"/>
  <c r="B50" i="3"/>
  <c r="I49" i="3"/>
  <c r="D49" i="4"/>
  <c r="J49" i="4" s="1"/>
  <c r="F49" i="4"/>
  <c r="H49" i="4" s="1"/>
  <c r="F50" i="3" l="1"/>
  <c r="H50" i="3" s="1"/>
  <c r="D50" i="3"/>
  <c r="J50" i="3" s="1"/>
  <c r="F50" i="6"/>
  <c r="H50" i="6" s="1"/>
  <c r="D50" i="6"/>
  <c r="J50" i="6" s="1"/>
  <c r="E50" i="6"/>
  <c r="G50" i="6" s="1"/>
  <c r="C50" i="4"/>
  <c r="B50" i="4"/>
  <c r="I49" i="4"/>
  <c r="C50" i="2"/>
  <c r="B50" i="2"/>
  <c r="E50" i="2" s="1"/>
  <c r="G50" i="2" s="1"/>
  <c r="I49" i="2"/>
  <c r="B50" i="5"/>
  <c r="I49" i="5"/>
  <c r="C50" i="5"/>
  <c r="E50" i="3"/>
  <c r="G50" i="3" s="1"/>
  <c r="E50" i="4" l="1"/>
  <c r="G50" i="4" s="1"/>
  <c r="D50" i="5"/>
  <c r="J50" i="5" s="1"/>
  <c r="F50" i="5"/>
  <c r="H50" i="5" s="1"/>
  <c r="D50" i="4"/>
  <c r="J50" i="4" s="1"/>
  <c r="F50" i="4"/>
  <c r="H50" i="4" s="1"/>
  <c r="E50" i="5"/>
  <c r="G50" i="5" s="1"/>
  <c r="C51" i="6"/>
  <c r="B51" i="6"/>
  <c r="E51" i="6" s="1"/>
  <c r="G51" i="6" s="1"/>
  <c r="I50" i="6"/>
  <c r="C51" i="3"/>
  <c r="B51" i="3"/>
  <c r="E51" i="3" s="1"/>
  <c r="G51" i="3" s="1"/>
  <c r="I50" i="3"/>
  <c r="F50" i="2"/>
  <c r="H50" i="2" s="1"/>
  <c r="D50" i="2"/>
  <c r="J50" i="2" s="1"/>
  <c r="F51" i="6" l="1"/>
  <c r="H51" i="6" s="1"/>
  <c r="D51" i="6"/>
  <c r="J51" i="6" s="1"/>
  <c r="C51" i="2"/>
  <c r="B51" i="2"/>
  <c r="E51" i="2" s="1"/>
  <c r="G51" i="2" s="1"/>
  <c r="I50" i="2"/>
  <c r="C51" i="4"/>
  <c r="B51" i="4"/>
  <c r="E51" i="4" s="1"/>
  <c r="G51" i="4" s="1"/>
  <c r="I50" i="4"/>
  <c r="F51" i="3"/>
  <c r="H51" i="3" s="1"/>
  <c r="D51" i="3"/>
  <c r="J51" i="3" s="1"/>
  <c r="I50" i="5"/>
  <c r="B51" i="5"/>
  <c r="C51" i="5"/>
  <c r="E51" i="5" l="1"/>
  <c r="G51" i="5" s="1"/>
  <c r="F51" i="4"/>
  <c r="H51" i="4" s="1"/>
  <c r="D51" i="4"/>
  <c r="J51" i="4" s="1"/>
  <c r="D51" i="5"/>
  <c r="J51" i="5" s="1"/>
  <c r="F51" i="5"/>
  <c r="H51" i="5" s="1"/>
  <c r="C52" i="3"/>
  <c r="B52" i="3"/>
  <c r="E52" i="3" s="1"/>
  <c r="G52" i="3" s="1"/>
  <c r="I51" i="3"/>
  <c r="F51" i="2"/>
  <c r="H51" i="2" s="1"/>
  <c r="D51" i="2"/>
  <c r="J51" i="2" s="1"/>
  <c r="B52" i="6"/>
  <c r="E52" i="6" s="1"/>
  <c r="G52" i="6" s="1"/>
  <c r="I51" i="6"/>
  <c r="C52" i="6"/>
  <c r="I51" i="5" l="1"/>
  <c r="C52" i="5"/>
  <c r="B52" i="5"/>
  <c r="E52" i="5" s="1"/>
  <c r="G52" i="5" s="1"/>
  <c r="D52" i="3"/>
  <c r="J52" i="3" s="1"/>
  <c r="F52" i="3"/>
  <c r="H52" i="3" s="1"/>
  <c r="D52" i="6"/>
  <c r="J52" i="6" s="1"/>
  <c r="F52" i="6"/>
  <c r="H52" i="6" s="1"/>
  <c r="I51" i="4"/>
  <c r="C52" i="4"/>
  <c r="B52" i="4"/>
  <c r="E52" i="4" s="1"/>
  <c r="G52" i="4" s="1"/>
  <c r="B52" i="2"/>
  <c r="I51" i="2"/>
  <c r="C52" i="2"/>
  <c r="C53" i="3" l="1"/>
  <c r="B53" i="3"/>
  <c r="E53" i="3" s="1"/>
  <c r="G53" i="3" s="1"/>
  <c r="I52" i="3"/>
  <c r="C53" i="6"/>
  <c r="I52" i="6"/>
  <c r="B53" i="6"/>
  <c r="D52" i="2"/>
  <c r="J52" i="2" s="1"/>
  <c r="F52" i="2"/>
  <c r="H52" i="2" s="1"/>
  <c r="E52" i="2"/>
  <c r="G52" i="2" s="1"/>
  <c r="F52" i="5"/>
  <c r="H52" i="5" s="1"/>
  <c r="D52" i="5"/>
  <c r="J52" i="5" s="1"/>
  <c r="D52" i="4"/>
  <c r="J52" i="4" s="1"/>
  <c r="F52" i="4"/>
  <c r="H52" i="4" s="1"/>
  <c r="C53" i="2" l="1"/>
  <c r="I52" i="2"/>
  <c r="B53" i="2"/>
  <c r="E53" i="2" s="1"/>
  <c r="G53" i="2" s="1"/>
  <c r="E53" i="6"/>
  <c r="G53" i="6" s="1"/>
  <c r="C53" i="4"/>
  <c r="I52" i="4"/>
  <c r="B53" i="4"/>
  <c r="E53" i="4" s="1"/>
  <c r="G53" i="4" s="1"/>
  <c r="F53" i="6"/>
  <c r="H53" i="6" s="1"/>
  <c r="D53" i="6"/>
  <c r="J53" i="6" s="1"/>
  <c r="B53" i="5"/>
  <c r="I52" i="5"/>
  <c r="C53" i="5"/>
  <c r="D53" i="3"/>
  <c r="J53" i="3" s="1"/>
  <c r="F53" i="3"/>
  <c r="H53" i="3" s="1"/>
  <c r="C54" i="3" l="1"/>
  <c r="B54" i="3"/>
  <c r="E54" i="3" s="1"/>
  <c r="G54" i="3" s="1"/>
  <c r="I53" i="3"/>
  <c r="D53" i="4"/>
  <c r="J53" i="4" s="1"/>
  <c r="F53" i="4"/>
  <c r="H53" i="4" s="1"/>
  <c r="E53" i="5"/>
  <c r="G53" i="5" s="1"/>
  <c r="D53" i="5"/>
  <c r="J53" i="5" s="1"/>
  <c r="F53" i="5"/>
  <c r="H53" i="5" s="1"/>
  <c r="B54" i="6"/>
  <c r="I53" i="6"/>
  <c r="C54" i="6"/>
  <c r="F53" i="2"/>
  <c r="H53" i="2" s="1"/>
  <c r="D53" i="2"/>
  <c r="J53" i="2" s="1"/>
  <c r="B54" i="2" l="1"/>
  <c r="I53" i="2"/>
  <c r="C54" i="2"/>
  <c r="C54" i="5"/>
  <c r="I53" i="5"/>
  <c r="B54" i="5"/>
  <c r="D54" i="6"/>
  <c r="J54" i="6" s="1"/>
  <c r="F54" i="6"/>
  <c r="H54" i="6" s="1"/>
  <c r="C54" i="4"/>
  <c r="B54" i="4"/>
  <c r="I53" i="4"/>
  <c r="E54" i="6"/>
  <c r="G54" i="6" s="1"/>
  <c r="F54" i="3"/>
  <c r="H54" i="3" s="1"/>
  <c r="D54" i="3"/>
  <c r="J54" i="3" s="1"/>
  <c r="E54" i="5" l="1"/>
  <c r="G54" i="5" s="1"/>
  <c r="E54" i="2"/>
  <c r="G54" i="2" s="1"/>
  <c r="F54" i="4"/>
  <c r="H54" i="4" s="1"/>
  <c r="D54" i="4"/>
  <c r="J54" i="4" s="1"/>
  <c r="C55" i="6"/>
  <c r="B55" i="6"/>
  <c r="I54" i="6"/>
  <c r="F54" i="2"/>
  <c r="H54" i="2" s="1"/>
  <c r="D54" i="2"/>
  <c r="J54" i="2" s="1"/>
  <c r="B55" i="3"/>
  <c r="I54" i="3"/>
  <c r="C55" i="3"/>
  <c r="F54" i="5"/>
  <c r="H54" i="5" s="1"/>
  <c r="D54" i="5"/>
  <c r="J54" i="5" s="1"/>
  <c r="E54" i="4"/>
  <c r="G54" i="4" s="1"/>
  <c r="E55" i="6" l="1"/>
  <c r="G55" i="6" s="1"/>
  <c r="E55" i="3"/>
  <c r="G55" i="3" s="1"/>
  <c r="F55" i="6"/>
  <c r="H55" i="6" s="1"/>
  <c r="D55" i="6"/>
  <c r="J55" i="6" s="1"/>
  <c r="I54" i="2"/>
  <c r="B55" i="2"/>
  <c r="C55" i="2"/>
  <c r="C55" i="5"/>
  <c r="I54" i="5"/>
  <c r="B55" i="5"/>
  <c r="E55" i="5" s="1"/>
  <c r="G55" i="5" s="1"/>
  <c r="F55" i="3"/>
  <c r="H55" i="3" s="1"/>
  <c r="D55" i="3"/>
  <c r="J55" i="3" s="1"/>
  <c r="B55" i="4"/>
  <c r="C55" i="4"/>
  <c r="I54" i="4"/>
  <c r="F55" i="2" l="1"/>
  <c r="H55" i="2" s="1"/>
  <c r="D55" i="2"/>
  <c r="J55" i="2" s="1"/>
  <c r="F55" i="4"/>
  <c r="H55" i="4" s="1"/>
  <c r="D55" i="4"/>
  <c r="J55" i="4" s="1"/>
  <c r="F55" i="5"/>
  <c r="H55" i="5" s="1"/>
  <c r="D55" i="5"/>
  <c r="J55" i="5" s="1"/>
  <c r="E55" i="4"/>
  <c r="G55" i="4" s="1"/>
  <c r="I55" i="3"/>
  <c r="B56" i="3"/>
  <c r="C56" i="3"/>
  <c r="E55" i="2"/>
  <c r="G55" i="2" s="1"/>
  <c r="I55" i="6"/>
  <c r="C56" i="6"/>
  <c r="B56" i="6"/>
  <c r="E56" i="6" l="1"/>
  <c r="G56" i="6" s="1"/>
  <c r="F56" i="6"/>
  <c r="H56" i="6" s="1"/>
  <c r="D56" i="6"/>
  <c r="J56" i="6" s="1"/>
  <c r="I55" i="2"/>
  <c r="C56" i="2"/>
  <c r="B56" i="2"/>
  <c r="E56" i="2" s="1"/>
  <c r="G56" i="2" s="1"/>
  <c r="B56" i="5"/>
  <c r="C56" i="5"/>
  <c r="I55" i="5"/>
  <c r="I55" i="4"/>
  <c r="C56" i="4"/>
  <c r="B56" i="4"/>
  <c r="E56" i="4" s="1"/>
  <c r="G56" i="4" s="1"/>
  <c r="F56" i="3"/>
  <c r="H56" i="3" s="1"/>
  <c r="D56" i="3"/>
  <c r="J56" i="3" s="1"/>
  <c r="E56" i="3"/>
  <c r="G56" i="3" s="1"/>
  <c r="I56" i="3" l="1"/>
  <c r="C57" i="3"/>
  <c r="B57" i="3"/>
  <c r="D56" i="5"/>
  <c r="J56" i="5" s="1"/>
  <c r="F56" i="5"/>
  <c r="H56" i="5" s="1"/>
  <c r="E56" i="5"/>
  <c r="G56" i="5" s="1"/>
  <c r="F56" i="2"/>
  <c r="H56" i="2" s="1"/>
  <c r="D56" i="2"/>
  <c r="J56" i="2" s="1"/>
  <c r="D56" i="4"/>
  <c r="J56" i="4" s="1"/>
  <c r="F56" i="4"/>
  <c r="H56" i="4" s="1"/>
  <c r="C57" i="6"/>
  <c r="B57" i="6"/>
  <c r="E57" i="6" s="1"/>
  <c r="G57" i="6" s="1"/>
  <c r="I56" i="6"/>
  <c r="E57" i="3" l="1"/>
  <c r="G57" i="3" s="1"/>
  <c r="C57" i="2"/>
  <c r="B57" i="2"/>
  <c r="E57" i="2" s="1"/>
  <c r="G57" i="2" s="1"/>
  <c r="I56" i="2"/>
  <c r="D57" i="6"/>
  <c r="J57" i="6" s="1"/>
  <c r="F57" i="6"/>
  <c r="H57" i="6" s="1"/>
  <c r="F57" i="3"/>
  <c r="H57" i="3" s="1"/>
  <c r="D57" i="3"/>
  <c r="J57" i="3" s="1"/>
  <c r="C57" i="5"/>
  <c r="B57" i="5"/>
  <c r="I56" i="5"/>
  <c r="C57" i="4"/>
  <c r="I56" i="4"/>
  <c r="B57" i="4"/>
  <c r="E57" i="4" l="1"/>
  <c r="G57" i="4" s="1"/>
  <c r="C58" i="3"/>
  <c r="B58" i="3"/>
  <c r="E58" i="3" s="1"/>
  <c r="G58" i="3" s="1"/>
  <c r="I57" i="3"/>
  <c r="D57" i="5"/>
  <c r="J57" i="5" s="1"/>
  <c r="F57" i="5"/>
  <c r="H57" i="5" s="1"/>
  <c r="F57" i="4"/>
  <c r="H57" i="4" s="1"/>
  <c r="D57" i="4"/>
  <c r="J57" i="4" s="1"/>
  <c r="C58" i="6"/>
  <c r="B58" i="6"/>
  <c r="I57" i="6"/>
  <c r="E57" i="5"/>
  <c r="G57" i="5" s="1"/>
  <c r="D57" i="2"/>
  <c r="J57" i="2" s="1"/>
  <c r="F57" i="2"/>
  <c r="H57" i="2" s="1"/>
  <c r="B58" i="4" l="1"/>
  <c r="C58" i="4"/>
  <c r="I57" i="4"/>
  <c r="B58" i="5"/>
  <c r="E58" i="5" s="1"/>
  <c r="G58" i="5" s="1"/>
  <c r="I57" i="5"/>
  <c r="C58" i="5"/>
  <c r="F58" i="6"/>
  <c r="H58" i="6" s="1"/>
  <c r="D58" i="6"/>
  <c r="J58" i="6" s="1"/>
  <c r="C58" i="2"/>
  <c r="B58" i="2"/>
  <c r="I57" i="2"/>
  <c r="E58" i="6"/>
  <c r="G58" i="6" s="1"/>
  <c r="F58" i="3"/>
  <c r="H58" i="3" s="1"/>
  <c r="D58" i="3"/>
  <c r="J58" i="3" s="1"/>
  <c r="E58" i="2" l="1"/>
  <c r="G58" i="2" s="1"/>
  <c r="C59" i="6"/>
  <c r="B59" i="6"/>
  <c r="E59" i="6" s="1"/>
  <c r="G59" i="6" s="1"/>
  <c r="I58" i="6"/>
  <c r="F58" i="5"/>
  <c r="H58" i="5" s="1"/>
  <c r="D58" i="5"/>
  <c r="J58" i="5" s="1"/>
  <c r="C59" i="3"/>
  <c r="B59" i="3"/>
  <c r="E59" i="3" s="1"/>
  <c r="G59" i="3" s="1"/>
  <c r="I58" i="3"/>
  <c r="F58" i="4"/>
  <c r="H58" i="4" s="1"/>
  <c r="D58" i="4"/>
  <c r="J58" i="4" s="1"/>
  <c r="F58" i="2"/>
  <c r="H58" i="2" s="1"/>
  <c r="D58" i="2"/>
  <c r="J58" i="2" s="1"/>
  <c r="E58" i="4"/>
  <c r="G58" i="4" s="1"/>
  <c r="F59" i="3" l="1"/>
  <c r="H59" i="3" s="1"/>
  <c r="D59" i="3"/>
  <c r="J59" i="3" s="1"/>
  <c r="B59" i="5"/>
  <c r="C59" i="5"/>
  <c r="I58" i="5"/>
  <c r="C59" i="2"/>
  <c r="B59" i="2"/>
  <c r="I58" i="2"/>
  <c r="B59" i="4"/>
  <c r="C59" i="4"/>
  <c r="I58" i="4"/>
  <c r="F59" i="6"/>
  <c r="H59" i="6" s="1"/>
  <c r="D59" i="6"/>
  <c r="J59" i="6" s="1"/>
  <c r="F59" i="2" l="1"/>
  <c r="H59" i="2" s="1"/>
  <c r="D59" i="2"/>
  <c r="J59" i="2" s="1"/>
  <c r="B60" i="6"/>
  <c r="I59" i="6"/>
  <c r="C60" i="6"/>
  <c r="F59" i="5"/>
  <c r="H59" i="5" s="1"/>
  <c r="D59" i="5"/>
  <c r="J59" i="5" s="1"/>
  <c r="F59" i="4"/>
  <c r="H59" i="4" s="1"/>
  <c r="D59" i="4"/>
  <c r="J59" i="4" s="1"/>
  <c r="C60" i="3"/>
  <c r="B60" i="3"/>
  <c r="E60" i="3" s="1"/>
  <c r="G60" i="3" s="1"/>
  <c r="I59" i="3"/>
  <c r="E59" i="2"/>
  <c r="G59" i="2" s="1"/>
  <c r="E59" i="5"/>
  <c r="G59" i="5" s="1"/>
  <c r="E59" i="4"/>
  <c r="G59" i="4" s="1"/>
  <c r="D60" i="6" l="1"/>
  <c r="J60" i="6" s="1"/>
  <c r="F60" i="6"/>
  <c r="H60" i="6" s="1"/>
  <c r="E60" i="6"/>
  <c r="G60" i="6" s="1"/>
  <c r="I59" i="5"/>
  <c r="C60" i="5"/>
  <c r="B60" i="5"/>
  <c r="E60" i="5" s="1"/>
  <c r="G60" i="5" s="1"/>
  <c r="B60" i="2"/>
  <c r="I59" i="2"/>
  <c r="C60" i="2"/>
  <c r="D60" i="3"/>
  <c r="J60" i="3" s="1"/>
  <c r="F60" i="3"/>
  <c r="H60" i="3" s="1"/>
  <c r="I59" i="4"/>
  <c r="B60" i="4"/>
  <c r="C60" i="4"/>
  <c r="E60" i="2" l="1"/>
  <c r="G60" i="2" s="1"/>
  <c r="F60" i="5"/>
  <c r="H60" i="5" s="1"/>
  <c r="D60" i="5"/>
  <c r="J60" i="5" s="1"/>
  <c r="D60" i="4"/>
  <c r="J60" i="4" s="1"/>
  <c r="F60" i="4"/>
  <c r="H60" i="4" s="1"/>
  <c r="C61" i="3"/>
  <c r="B61" i="3"/>
  <c r="E61" i="3" s="1"/>
  <c r="G61" i="3" s="1"/>
  <c r="I60" i="3"/>
  <c r="E60" i="4"/>
  <c r="G60" i="4" s="1"/>
  <c r="D60" i="2"/>
  <c r="J60" i="2" s="1"/>
  <c r="F60" i="2"/>
  <c r="H60" i="2" s="1"/>
  <c r="C61" i="6"/>
  <c r="I60" i="6"/>
  <c r="B61" i="6"/>
  <c r="E61" i="6" s="1"/>
  <c r="G61" i="6" s="1"/>
  <c r="D61" i="3" l="1"/>
  <c r="J61" i="3" s="1"/>
  <c r="F61" i="3"/>
  <c r="H61" i="3" s="1"/>
  <c r="C61" i="4"/>
  <c r="B61" i="4"/>
  <c r="E61" i="4" s="1"/>
  <c r="G61" i="4" s="1"/>
  <c r="I60" i="4"/>
  <c r="F61" i="6"/>
  <c r="H61" i="6" s="1"/>
  <c r="D61" i="6"/>
  <c r="J61" i="6" s="1"/>
  <c r="I60" i="5"/>
  <c r="B61" i="5"/>
  <c r="C61" i="5"/>
  <c r="C61" i="2"/>
  <c r="I60" i="2"/>
  <c r="B61" i="2"/>
  <c r="E61" i="5" l="1"/>
  <c r="G61" i="5" s="1"/>
  <c r="E61" i="2"/>
  <c r="G61" i="2" s="1"/>
  <c r="C62" i="3"/>
  <c r="B62" i="3"/>
  <c r="I61" i="3"/>
  <c r="B62" i="6"/>
  <c r="I61" i="6"/>
  <c r="C62" i="6"/>
  <c r="F61" i="2"/>
  <c r="H61" i="2" s="1"/>
  <c r="D61" i="2"/>
  <c r="J61" i="2" s="1"/>
  <c r="D61" i="4"/>
  <c r="J61" i="4" s="1"/>
  <c r="F61" i="4"/>
  <c r="H61" i="4" s="1"/>
  <c r="D61" i="5"/>
  <c r="J61" i="5" s="1"/>
  <c r="F61" i="5"/>
  <c r="H61" i="5" s="1"/>
  <c r="B62" i="2" l="1"/>
  <c r="I61" i="2"/>
  <c r="C62" i="2"/>
  <c r="F62" i="3"/>
  <c r="H62" i="3" s="1"/>
  <c r="D62" i="3"/>
  <c r="J62" i="3" s="1"/>
  <c r="F62" i="6"/>
  <c r="H62" i="6" s="1"/>
  <c r="D62" i="6"/>
  <c r="J62" i="6" s="1"/>
  <c r="E62" i="6"/>
  <c r="G62" i="6" s="1"/>
  <c r="F5" i="6"/>
  <c r="B62" i="5"/>
  <c r="C62" i="5"/>
  <c r="I61" i="5"/>
  <c r="F5" i="3"/>
  <c r="E62" i="3"/>
  <c r="G62" i="3" s="1"/>
  <c r="C62" i="4"/>
  <c r="B62" i="4"/>
  <c r="I61" i="4"/>
  <c r="F62" i="4" l="1"/>
  <c r="H62" i="4" s="1"/>
  <c r="D62" i="4"/>
  <c r="J62" i="4" s="1"/>
  <c r="I62" i="3"/>
  <c r="F7" i="3"/>
  <c r="F5" i="1" s="1"/>
  <c r="F62" i="2"/>
  <c r="H62" i="2" s="1"/>
  <c r="D62" i="2"/>
  <c r="J62" i="2" s="1"/>
  <c r="E62" i="4"/>
  <c r="G62" i="4" s="1"/>
  <c r="F5" i="4"/>
  <c r="I62" i="6"/>
  <c r="F7" i="6"/>
  <c r="F8" i="1" s="1"/>
  <c r="E62" i="5"/>
  <c r="G62" i="5" s="1"/>
  <c r="F5" i="5"/>
  <c r="F6" i="3"/>
  <c r="E5" i="1" s="1"/>
  <c r="D5" i="1"/>
  <c r="F62" i="5"/>
  <c r="H62" i="5" s="1"/>
  <c r="D62" i="5"/>
  <c r="J62" i="5" s="1"/>
  <c r="F6" i="6"/>
  <c r="E8" i="1" s="1"/>
  <c r="D8" i="1"/>
  <c r="F5" i="2"/>
  <c r="E62" i="2"/>
  <c r="G62" i="2" s="1"/>
  <c r="D6" i="1" l="1"/>
  <c r="F6" i="4"/>
  <c r="E6" i="1" s="1"/>
  <c r="I62" i="2"/>
  <c r="F7" i="2"/>
  <c r="F4" i="1" s="1"/>
  <c r="I62" i="5"/>
  <c r="F7" i="5"/>
  <c r="F7" i="1" s="1"/>
  <c r="F6" i="5"/>
  <c r="E7" i="1" s="1"/>
  <c r="D7" i="1"/>
  <c r="F6" i="2"/>
  <c r="E4" i="1" s="1"/>
  <c r="D4" i="1"/>
  <c r="I62" i="4"/>
  <c r="F7" i="4"/>
  <c r="F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4" authorId="0" shapeId="0" xr:uid="{00000000-0006-0000-0000-000001000000}">
      <text>
        <r>
          <rPr>
            <sz val="10"/>
            <rFont val="Arial"/>
            <family val="2"/>
          </rPr>
          <t>Hardcoded from the analytical (Cardano) solution computed in part1_distance.py; see hand solutions Section 1.2.</t>
        </r>
      </text>
    </comment>
    <comment ref="G5" authorId="0" shapeId="0" xr:uid="{00000000-0006-0000-0000-000002000000}">
      <text>
        <r>
          <rPr>
            <sz val="10"/>
            <rFont val="Arial"/>
            <family val="2"/>
          </rPr>
          <t>Hardcoded from the analytical (Cardano) solution computed in part1_distance.py; see hand solutions Section 1.2.</t>
        </r>
      </text>
    </comment>
    <comment ref="G6" authorId="0" shapeId="0" xr:uid="{00000000-0006-0000-0000-000003000000}">
      <text>
        <r>
          <rPr>
            <sz val="10"/>
            <rFont val="Arial"/>
            <family val="2"/>
          </rPr>
          <t>Hardcoded from the analytical (Cardano) solution computed in part1_distance.py; see hand solutions Section 1.2.</t>
        </r>
      </text>
    </comment>
    <comment ref="G7" authorId="0" shapeId="0" xr:uid="{00000000-0006-0000-0000-000004000000}">
      <text>
        <r>
          <rPr>
            <sz val="10"/>
            <rFont val="Arial"/>
            <family val="2"/>
          </rPr>
          <t>Hardcoded from the analytical (Cardano) solution computed in part1_distance.py; see hand solutions Section 1.2.</t>
        </r>
      </text>
    </comment>
    <comment ref="G8" authorId="0" shapeId="0" xr:uid="{00000000-0006-0000-0000-000005000000}">
      <text>
        <r>
          <rPr>
            <sz val="10"/>
            <rFont val="Arial"/>
            <family val="2"/>
          </rPr>
          <t>Hardcoded from the analytical (Cardano) solution computed in part1_distance.py; see hand solutions Section 1.2.</t>
        </r>
      </text>
    </comment>
  </commentList>
</comments>
</file>

<file path=xl/sharedStrings.xml><?xml version="1.0" encoding="utf-8"?>
<sst xmlns="http://schemas.openxmlformats.org/spreadsheetml/2006/main" count="135" uniqueCount="42">
  <si>
    <t>Golden section search: summary of all five points (y = x^2 + 5)</t>
  </si>
  <si>
    <t>Point</t>
  </si>
  <si>
    <t>x0</t>
  </si>
  <si>
    <t>y0</t>
  </si>
  <si>
    <t>x* (golden section)</t>
  </si>
  <si>
    <t>d (golden section)</t>
  </si>
  <si>
    <t>Iterations</t>
  </si>
  <si>
    <t>x* (analytical, Python)</t>
  </si>
  <si>
    <t>d (analytical, Python)</t>
  </si>
  <si>
    <t>(0, 0)</t>
  </si>
  <si>
    <t>(-4, 0)</t>
  </si>
  <si>
    <t>(-8, 0)</t>
  </si>
  <si>
    <t>(2, 0)</t>
  </si>
  <si>
    <t>(6, 0)</t>
  </si>
  <si>
    <t>Colour key: blue = input or hardcoded reference value, green = link to a point sheet, black = formula.</t>
  </si>
  <si>
    <t>Golden section search: shortest distance from (0, 0) to y = p x^2 + q x + s</t>
  </si>
  <si>
    <t>x0 (point)</t>
  </si>
  <si>
    <t>phi</t>
  </si>
  <si>
    <t>y0 (point)</t>
  </si>
  <si>
    <t>r = 2 - phi</t>
  </si>
  <si>
    <t>p (x^2 coefficient)</t>
  </si>
  <si>
    <t>Result x* = (a+b)/2</t>
  </si>
  <si>
    <t>q (x coefficient)</t>
  </si>
  <si>
    <t>Result d</t>
  </si>
  <si>
    <t>s (constant)</t>
  </si>
  <si>
    <t>a (initial left end)</t>
  </si>
  <si>
    <t>b (initial right end)</t>
  </si>
  <si>
    <t>tol</t>
  </si>
  <si>
    <t>n</t>
  </si>
  <si>
    <t>a</t>
  </si>
  <si>
    <t>b</t>
  </si>
  <si>
    <t>b - a</t>
  </si>
  <si>
    <t>x1 = a + r(b - a)</t>
  </si>
  <si>
    <t>x2 = b - r(b - a)</t>
  </si>
  <si>
    <t>D(x1)</t>
  </si>
  <si>
    <t>D(x2)</t>
  </si>
  <si>
    <t>Keep</t>
  </si>
  <si>
    <t>Stopped?</t>
  </si>
  <si>
    <t>Golden section search: shortest distance from (-4, 0) to y = p x^2 + q x + s</t>
  </si>
  <si>
    <t>Golden section search: shortest distance from (-8, 0) to y = p x^2 + q x + s</t>
  </si>
  <si>
    <t>Golden section search: shortest distance from (2, 0) to y = p x^2 + q x + s</t>
  </si>
  <si>
    <t>Golden section search: shortest distance from (6, 0) to y = p x^2 + q x +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</si>
</sst>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1"/>
    </font>
    <font>
      <b/>
      <sz val="13"/>
      <name val="Times New Roman"/>
      <charset val="1"/>
    </font>
    <font>
      <i/>
      <sz val="10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sz val="11"/>
      <color rgb="FF008000"/>
      <name val="Times New Roman"/>
      <charset val="1"/>
    </font>
    <font>
      <sz val="11"/>
      <color rgb="FF0000FF"/>
      <name val="Times New Roman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11" fontId="4" fillId="0" borderId="0" xfId="0" applyNumberFormat="1" applyFont="1"/>
    <xf numFmtId="0" fontId="3" fillId="0" borderId="0" xfId="0" applyFont="1"/>
    <xf numFmtId="11" fontId="3" fillId="0" borderId="0" xfId="0" applyNumberFormat="1" applyFont="1"/>
    <xf numFmtId="11" fontId="6" fillId="0" borderId="0" xfId="0" applyNumberFormat="1" applyFont="1"/>
    <xf numFmtId="11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workbookViewId="0">
      <selection activeCell="F15" sqref="F15"/>
    </sheetView>
  </sheetViews>
  <sheetFormatPr defaultColWidth="8.6328125" defaultRowHeight="14.5" x14ac:dyDescent="0.35"/>
  <cols>
    <col min="1" max="1" width="12" customWidth="1"/>
    <col min="2" max="3" width="8" customWidth="1"/>
    <col min="4" max="5" width="18" customWidth="1"/>
    <col min="6" max="6" width="11" customWidth="1"/>
    <col min="7" max="8" width="20" customWidth="1"/>
  </cols>
  <sheetData>
    <row r="1" spans="1:8" ht="16.5" x14ac:dyDescent="0.35">
      <c r="A1" s="1" t="s">
        <v>0</v>
      </c>
    </row>
    <row r="3" spans="1:8" ht="30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35">
      <c r="A4" s="4" t="s">
        <v>9</v>
      </c>
      <c r="B4" s="5">
        <f>'Point (0,0)'!B3</f>
        <v>0</v>
      </c>
      <c r="C4" s="5">
        <f>'Point (0,0)'!B4</f>
        <v>0</v>
      </c>
      <c r="D4" s="13">
        <f>'Point (0,0)'!F5</f>
        <v>5.1166377087092716E-8</v>
      </c>
      <c r="E4" s="13">
        <f>'Point (0,0)'!F6</f>
        <v>5.0000000000000036</v>
      </c>
      <c r="F4" s="5">
        <f>'Point (0,0)'!F7</f>
        <v>37</v>
      </c>
      <c r="G4" s="14">
        <v>0</v>
      </c>
      <c r="H4" s="14">
        <v>5</v>
      </c>
    </row>
    <row r="5" spans="1:8" x14ac:dyDescent="0.35">
      <c r="A5" s="4" t="s">
        <v>10</v>
      </c>
      <c r="B5" s="5">
        <f>'Point (-4,0)'!B3</f>
        <v>-4</v>
      </c>
      <c r="C5" s="5">
        <f>'Point (-4,0)'!B4</f>
        <v>0</v>
      </c>
      <c r="D5" s="13">
        <f>'Point (-4,0)'!F5</f>
        <v>-0.35546965467838576</v>
      </c>
      <c r="E5" s="13">
        <f>'Point (-4,0)'!F6</f>
        <v>6.2898453642987064</v>
      </c>
      <c r="F5" s="5">
        <f>'Point (-4,0)'!F7</f>
        <v>37</v>
      </c>
      <c r="G5" s="14">
        <v>-0.35546969287483399</v>
      </c>
      <c r="H5" s="14">
        <v>6.2898453642987002</v>
      </c>
    </row>
    <row r="6" spans="1:8" x14ac:dyDescent="0.35">
      <c r="A6" s="4" t="s">
        <v>11</v>
      </c>
      <c r="B6" s="5">
        <f>'Point (-8,0)'!B3</f>
        <v>-8</v>
      </c>
      <c r="C6" s="5">
        <f>'Point (-8,0)'!B4</f>
        <v>0</v>
      </c>
      <c r="D6" s="13">
        <f>'Point (-8,0)'!F5</f>
        <v>-0.67207811045467114</v>
      </c>
      <c r="E6" s="13">
        <f>'Point (-8,0)'!F6</f>
        <v>9.1334195143644568</v>
      </c>
      <c r="F6" s="5">
        <f>'Point (-8,0)'!F7</f>
        <v>37</v>
      </c>
      <c r="G6" s="14">
        <v>-0.67207812677895196</v>
      </c>
      <c r="H6" s="14">
        <v>9.1334195143644603</v>
      </c>
    </row>
    <row r="7" spans="1:8" x14ac:dyDescent="0.35">
      <c r="A7" s="4" t="s">
        <v>12</v>
      </c>
      <c r="B7" s="5">
        <f>'Point (2,0)'!B3</f>
        <v>2</v>
      </c>
      <c r="C7" s="5">
        <f>'Point (2,0)'!B4</f>
        <v>0</v>
      </c>
      <c r="D7" s="13">
        <f>'Point (2,0)'!F5</f>
        <v>0.18074464446017607</v>
      </c>
      <c r="E7" s="13">
        <f>'Point (2,0)'!F6</f>
        <v>5.3513964114825345</v>
      </c>
      <c r="F7" s="5">
        <f>'Point (2,0)'!F7</f>
        <v>37</v>
      </c>
      <c r="G7" s="14">
        <v>0.18074460447935001</v>
      </c>
      <c r="H7" s="14">
        <v>5.3513964114825301</v>
      </c>
    </row>
    <row r="8" spans="1:8" x14ac:dyDescent="0.35">
      <c r="A8" s="4" t="s">
        <v>13</v>
      </c>
      <c r="B8" s="5">
        <f>'Point (6,0)'!B3</f>
        <v>6</v>
      </c>
      <c r="C8" s="5">
        <f>'Point (6,0)'!B4</f>
        <v>0</v>
      </c>
      <c r="D8" s="13">
        <f>'Point (6,0)'!F5</f>
        <v>0.5199037464563232</v>
      </c>
      <c r="E8" s="13">
        <f>'Point (6,0)'!F6</f>
        <v>7.603125412805765</v>
      </c>
      <c r="F8" s="5">
        <f>'Point (6,0)'!F7</f>
        <v>37</v>
      </c>
      <c r="G8" s="14">
        <v>0.51990366103470498</v>
      </c>
      <c r="H8" s="14">
        <v>7.6031254128057597</v>
      </c>
    </row>
    <row r="10" spans="1:8" x14ac:dyDescent="0.35">
      <c r="A10" s="2" t="s">
        <v>14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zoomScaleNormal="100" workbookViewId="0">
      <pane ySplit="12" topLeftCell="A13" activePane="bottomLeft" state="frozen"/>
      <selection pane="bottomLeft" activeCell="I7" sqref="I7"/>
    </sheetView>
  </sheetViews>
  <sheetFormatPr defaultColWidth="8.6328125" defaultRowHeight="14.5" x14ac:dyDescent="0.35"/>
  <cols>
    <col min="1" max="1" width="22" customWidth="1"/>
    <col min="2" max="3" width="14" customWidth="1"/>
    <col min="4" max="4" width="12" customWidth="1"/>
    <col min="5" max="6" width="18" customWidth="1"/>
    <col min="7" max="8" width="13" customWidth="1"/>
    <col min="9" max="9" width="15" customWidth="1"/>
    <col min="10" max="10" width="10" customWidth="1"/>
  </cols>
  <sheetData>
    <row r="1" spans="1:10" ht="16.5" x14ac:dyDescent="0.35">
      <c r="A1" s="1" t="s">
        <v>15</v>
      </c>
    </row>
    <row r="3" spans="1:10" x14ac:dyDescent="0.35">
      <c r="A3" s="6" t="s">
        <v>16</v>
      </c>
      <c r="B3" s="7">
        <v>0</v>
      </c>
      <c r="C3" s="2"/>
      <c r="E3" s="6" t="s">
        <v>17</v>
      </c>
      <c r="F3" s="8">
        <f>(1+SQRT(5))/2</f>
        <v>1.6180339887498949</v>
      </c>
    </row>
    <row r="4" spans="1:10" x14ac:dyDescent="0.35">
      <c r="A4" s="6" t="s">
        <v>18</v>
      </c>
      <c r="B4" s="7">
        <v>0</v>
      </c>
      <c r="C4" s="2"/>
      <c r="E4" s="6" t="s">
        <v>19</v>
      </c>
      <c r="F4" s="8">
        <f>2-F3</f>
        <v>0.3819660112501051</v>
      </c>
    </row>
    <row r="5" spans="1:10" x14ac:dyDescent="0.35">
      <c r="A5" s="6" t="s">
        <v>20</v>
      </c>
      <c r="B5" s="7">
        <v>1</v>
      </c>
      <c r="C5" s="2"/>
      <c r="E5" s="9" t="s">
        <v>21</v>
      </c>
      <c r="F5" s="10">
        <f>(B62+C62)/2</f>
        <v>5.1166377087092716E-8</v>
      </c>
    </row>
    <row r="6" spans="1:10" x14ac:dyDescent="0.35">
      <c r="A6" s="6" t="s">
        <v>22</v>
      </c>
      <c r="B6" s="7">
        <v>0</v>
      </c>
      <c r="C6" s="2"/>
      <c r="E6" s="9" t="s">
        <v>23</v>
      </c>
      <c r="F6" s="10">
        <f>SQRT((F5-$B$3)^2+($B$5*F5^2+$B$6*F5+$B$7-$B$4)^2)</f>
        <v>5.0000000000000036</v>
      </c>
    </row>
    <row r="7" spans="1:10" x14ac:dyDescent="0.35">
      <c r="A7" s="6" t="s">
        <v>24</v>
      </c>
      <c r="B7" s="7">
        <v>5</v>
      </c>
      <c r="C7" s="2"/>
      <c r="E7" s="9" t="s">
        <v>6</v>
      </c>
      <c r="F7" s="9">
        <f>COUNTIF(J13:J62,"no")</f>
        <v>37</v>
      </c>
    </row>
    <row r="8" spans="1:10" x14ac:dyDescent="0.35">
      <c r="A8" s="6" t="s">
        <v>25</v>
      </c>
      <c r="B8" s="7">
        <v>-2</v>
      </c>
      <c r="C8" s="2"/>
    </row>
    <row r="9" spans="1:10" x14ac:dyDescent="0.35">
      <c r="A9" s="6" t="s">
        <v>26</v>
      </c>
      <c r="B9" s="7">
        <v>2</v>
      </c>
      <c r="C9" s="2"/>
    </row>
    <row r="10" spans="1:10" x14ac:dyDescent="0.35">
      <c r="A10" s="6" t="s">
        <v>27</v>
      </c>
      <c r="B10" s="11">
        <v>9.9999999999999995E-8</v>
      </c>
      <c r="C10" s="2"/>
    </row>
    <row r="12" spans="1:10" x14ac:dyDescent="0.35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</row>
    <row r="13" spans="1:10" x14ac:dyDescent="0.35">
      <c r="A13" s="4">
        <v>0</v>
      </c>
      <c r="B13" s="12">
        <f>$B$8</f>
        <v>-2</v>
      </c>
      <c r="C13" s="12">
        <f>$B$9</f>
        <v>2</v>
      </c>
      <c r="D13" s="12">
        <f t="shared" ref="D13:D44" si="0">C13-B13</f>
        <v>4</v>
      </c>
      <c r="E13" s="12">
        <f t="shared" ref="E13:E44" si="1">B13+$F$4*(C13-B13)</f>
        <v>-0.47213595499957961</v>
      </c>
      <c r="F13" s="12">
        <f t="shared" ref="F13:F44" si="2">C13-$F$4*(C13-B13)</f>
        <v>0.47213595499957961</v>
      </c>
      <c r="G13" s="12">
        <f t="shared" ref="G13:G44" si="3">(E13-$B$3)^2+($B$5*E13^2+$B$6*E13+$B$7-$B$4)^2</f>
        <v>27.501725880279285</v>
      </c>
      <c r="H13" s="12">
        <f t="shared" ref="H13:H44" si="4">(F13-$B$3)^2+($B$5*F13^2+$B$6*F13+$B$7-$B$4)^2</f>
        <v>27.501725880279285</v>
      </c>
      <c r="I13" s="4" t="str">
        <f t="shared" ref="I13:I44" si="5">IF(J13="yes","-",IF(G13&lt;H13,"left: b = x2","right: a = x1"))</f>
        <v>right: a = x1</v>
      </c>
      <c r="J13" s="4" t="str">
        <f t="shared" ref="J13:J44" si="6">IF(D13&lt;$B$10,"yes","no")</f>
        <v>no</v>
      </c>
    </row>
    <row r="14" spans="1:10" x14ac:dyDescent="0.35">
      <c r="A14" s="4">
        <v>1</v>
      </c>
      <c r="B14" s="12">
        <f t="shared" ref="B14:B45" si="7">IF(J13="yes",B13,IF(G13&lt;H13,B13,E13))</f>
        <v>-0.47213595499957961</v>
      </c>
      <c r="C14" s="12">
        <f t="shared" ref="C14:C45" si="8">IF(J13="yes",C13,IF(G13&lt;H13,F13,C13))</f>
        <v>2</v>
      </c>
      <c r="D14" s="12">
        <f t="shared" si="0"/>
        <v>2.4721359549995796</v>
      </c>
      <c r="E14" s="12">
        <f t="shared" si="1"/>
        <v>0.47213595499957917</v>
      </c>
      <c r="F14" s="12">
        <f t="shared" si="2"/>
        <v>1.0557280900008412</v>
      </c>
      <c r="G14" s="12">
        <f t="shared" si="3"/>
        <v>27.501725880279281</v>
      </c>
      <c r="H14" s="12">
        <f t="shared" si="4"/>
        <v>38.502427806241812</v>
      </c>
      <c r="I14" s="4" t="str">
        <f t="shared" si="5"/>
        <v>left: b = x2</v>
      </c>
      <c r="J14" s="4" t="str">
        <f t="shared" si="6"/>
        <v>no</v>
      </c>
    </row>
    <row r="15" spans="1:10" x14ac:dyDescent="0.35">
      <c r="A15" s="4">
        <v>2</v>
      </c>
      <c r="B15" s="12">
        <f t="shared" si="7"/>
        <v>-0.47213595499957961</v>
      </c>
      <c r="C15" s="12">
        <f t="shared" si="8"/>
        <v>1.0557280900008412</v>
      </c>
      <c r="D15" s="12">
        <f t="shared" si="0"/>
        <v>1.5278640450004208</v>
      </c>
      <c r="E15" s="12">
        <f t="shared" si="1"/>
        <v>0.11145618000168223</v>
      </c>
      <c r="F15" s="12">
        <f t="shared" si="2"/>
        <v>0.47213595499957939</v>
      </c>
      <c r="G15" s="12">
        <f t="shared" si="3"/>
        <v>25.136801598677096</v>
      </c>
      <c r="H15" s="12">
        <f t="shared" si="4"/>
        <v>27.501725880279281</v>
      </c>
      <c r="I15" s="4" t="str">
        <f t="shared" si="5"/>
        <v>left: b = x2</v>
      </c>
      <c r="J15" s="4" t="str">
        <f t="shared" si="6"/>
        <v>no</v>
      </c>
    </row>
    <row r="16" spans="1:10" x14ac:dyDescent="0.35">
      <c r="A16" s="4">
        <v>3</v>
      </c>
      <c r="B16" s="12">
        <f t="shared" si="7"/>
        <v>-0.47213595499957961</v>
      </c>
      <c r="C16" s="12">
        <f t="shared" si="8"/>
        <v>0.47213595499957939</v>
      </c>
      <c r="D16" s="12">
        <f t="shared" si="0"/>
        <v>0.944271909999159</v>
      </c>
      <c r="E16" s="12">
        <f t="shared" si="1"/>
        <v>-0.11145618000168261</v>
      </c>
      <c r="F16" s="12">
        <f t="shared" si="2"/>
        <v>0.11145618000168239</v>
      </c>
      <c r="G16" s="12">
        <f t="shared" si="3"/>
        <v>25.136801598677096</v>
      </c>
      <c r="H16" s="12">
        <f t="shared" si="4"/>
        <v>25.136801598677096</v>
      </c>
      <c r="I16" s="4" t="str">
        <f t="shared" si="5"/>
        <v>right: a = x1</v>
      </c>
      <c r="J16" s="4" t="str">
        <f t="shared" si="6"/>
        <v>no</v>
      </c>
    </row>
    <row r="17" spans="1:10" x14ac:dyDescent="0.35">
      <c r="A17" s="4">
        <v>4</v>
      </c>
      <c r="B17" s="12">
        <f t="shared" si="7"/>
        <v>-0.11145618000168261</v>
      </c>
      <c r="C17" s="12">
        <f t="shared" si="8"/>
        <v>0.47213595499957939</v>
      </c>
      <c r="D17" s="12">
        <f t="shared" si="0"/>
        <v>0.58359213500126206</v>
      </c>
      <c r="E17" s="12">
        <f t="shared" si="1"/>
        <v>0.11145618000168231</v>
      </c>
      <c r="F17" s="12">
        <f t="shared" si="2"/>
        <v>0.24922359499621446</v>
      </c>
      <c r="G17" s="12">
        <f t="shared" si="3"/>
        <v>25.136801598677096</v>
      </c>
      <c r="H17" s="12">
        <f t="shared" si="4"/>
        <v>25.687094353602589</v>
      </c>
      <c r="I17" s="4" t="str">
        <f t="shared" si="5"/>
        <v>left: b = x2</v>
      </c>
      <c r="J17" s="4" t="str">
        <f t="shared" si="6"/>
        <v>no</v>
      </c>
    </row>
    <row r="18" spans="1:10" x14ac:dyDescent="0.35">
      <c r="A18" s="4">
        <v>5</v>
      </c>
      <c r="B18" s="12">
        <f t="shared" si="7"/>
        <v>-0.11145618000168261</v>
      </c>
      <c r="C18" s="12">
        <f t="shared" si="8"/>
        <v>0.24922359499621446</v>
      </c>
      <c r="D18" s="12">
        <f t="shared" si="0"/>
        <v>0.36067977499789705</v>
      </c>
      <c r="E18" s="12">
        <f t="shared" si="1"/>
        <v>2.6311234992849514E-2</v>
      </c>
      <c r="F18" s="12">
        <f t="shared" si="2"/>
        <v>0.11145618000168234</v>
      </c>
      <c r="G18" s="12">
        <f t="shared" si="3"/>
        <v>25.00761557120844</v>
      </c>
      <c r="H18" s="12">
        <f t="shared" si="4"/>
        <v>25.136801598677096</v>
      </c>
      <c r="I18" s="4" t="str">
        <f t="shared" si="5"/>
        <v>left: b = x2</v>
      </c>
      <c r="J18" s="4" t="str">
        <f t="shared" si="6"/>
        <v>no</v>
      </c>
    </row>
    <row r="19" spans="1:10" x14ac:dyDescent="0.35">
      <c r="A19" s="4">
        <v>6</v>
      </c>
      <c r="B19" s="12">
        <f t="shared" si="7"/>
        <v>-0.11145618000168261</v>
      </c>
      <c r="C19" s="12">
        <f t="shared" si="8"/>
        <v>0.11145618000168234</v>
      </c>
      <c r="D19" s="12">
        <f t="shared" si="0"/>
        <v>0.22291236000336495</v>
      </c>
      <c r="E19" s="12">
        <f t="shared" si="1"/>
        <v>-2.6311234992849833E-2</v>
      </c>
      <c r="F19" s="12">
        <f t="shared" si="2"/>
        <v>2.6311234992849555E-2</v>
      </c>
      <c r="G19" s="12">
        <f t="shared" si="3"/>
        <v>25.00761557120844</v>
      </c>
      <c r="H19" s="12">
        <f t="shared" si="4"/>
        <v>25.00761557120844</v>
      </c>
      <c r="I19" s="4" t="str">
        <f t="shared" si="5"/>
        <v>right: a = x1</v>
      </c>
      <c r="J19" s="4" t="str">
        <f t="shared" si="6"/>
        <v>no</v>
      </c>
    </row>
    <row r="20" spans="1:10" x14ac:dyDescent="0.35">
      <c r="A20" s="4">
        <v>7</v>
      </c>
      <c r="B20" s="12">
        <f t="shared" si="7"/>
        <v>-2.6311234992849833E-2</v>
      </c>
      <c r="C20" s="12">
        <f t="shared" si="8"/>
        <v>0.11145618000168234</v>
      </c>
      <c r="D20" s="12">
        <f t="shared" si="0"/>
        <v>0.13776741499453216</v>
      </c>
      <c r="E20" s="12">
        <f t="shared" si="1"/>
        <v>2.6311234992849535E-2</v>
      </c>
      <c r="F20" s="12">
        <f t="shared" si="2"/>
        <v>5.8833710015982969E-2</v>
      </c>
      <c r="G20" s="12">
        <f t="shared" si="3"/>
        <v>25.00761557120844</v>
      </c>
      <c r="H20" s="12">
        <f t="shared" si="4"/>
        <v>25.038087441104274</v>
      </c>
      <c r="I20" s="4" t="str">
        <f t="shared" si="5"/>
        <v>left: b = x2</v>
      </c>
      <c r="J20" s="4" t="str">
        <f t="shared" si="6"/>
        <v>no</v>
      </c>
    </row>
    <row r="21" spans="1:10" x14ac:dyDescent="0.35">
      <c r="A21" s="4">
        <v>8</v>
      </c>
      <c r="B21" s="12">
        <f t="shared" si="7"/>
        <v>-2.6311234992849833E-2</v>
      </c>
      <c r="C21" s="12">
        <f t="shared" si="8"/>
        <v>5.8833710015982969E-2</v>
      </c>
      <c r="D21" s="12">
        <f t="shared" si="0"/>
        <v>8.5144945008832795E-2</v>
      </c>
      <c r="E21" s="12">
        <f t="shared" si="1"/>
        <v>6.2112400302835741E-3</v>
      </c>
      <c r="F21" s="12">
        <f t="shared" si="2"/>
        <v>2.6311234992849562E-2</v>
      </c>
      <c r="G21" s="12">
        <f t="shared" si="3"/>
        <v>25.000424376018227</v>
      </c>
      <c r="H21" s="12">
        <f t="shared" si="4"/>
        <v>25.00761557120844</v>
      </c>
      <c r="I21" s="4" t="str">
        <f t="shared" si="5"/>
        <v>left: b = x2</v>
      </c>
      <c r="J21" s="4" t="str">
        <f t="shared" si="6"/>
        <v>no</v>
      </c>
    </row>
    <row r="22" spans="1:10" x14ac:dyDescent="0.35">
      <c r="A22" s="4">
        <v>9</v>
      </c>
      <c r="B22" s="12">
        <f t="shared" si="7"/>
        <v>-2.6311234992849833E-2</v>
      </c>
      <c r="C22" s="12">
        <f t="shared" si="8"/>
        <v>2.6311234992849562E-2</v>
      </c>
      <c r="D22" s="12">
        <f t="shared" si="0"/>
        <v>5.2622469985699395E-2</v>
      </c>
      <c r="E22" s="12">
        <f t="shared" si="1"/>
        <v>-6.2112400302838586E-3</v>
      </c>
      <c r="F22" s="12">
        <f t="shared" si="2"/>
        <v>6.211240030283588E-3</v>
      </c>
      <c r="G22" s="12">
        <f t="shared" si="3"/>
        <v>25.000424376018234</v>
      </c>
      <c r="H22" s="12">
        <f t="shared" si="4"/>
        <v>25.000424376018227</v>
      </c>
      <c r="I22" s="4" t="str">
        <f t="shared" si="5"/>
        <v>right: a = x1</v>
      </c>
      <c r="J22" s="4" t="str">
        <f t="shared" si="6"/>
        <v>no</v>
      </c>
    </row>
    <row r="23" spans="1:10" x14ac:dyDescent="0.35">
      <c r="A23" s="4">
        <v>10</v>
      </c>
      <c r="B23" s="12">
        <f t="shared" si="7"/>
        <v>-6.2112400302838586E-3</v>
      </c>
      <c r="C23" s="12">
        <f t="shared" si="8"/>
        <v>2.6311234992849562E-2</v>
      </c>
      <c r="D23" s="12">
        <f t="shared" si="0"/>
        <v>3.2522475023133421E-2</v>
      </c>
      <c r="E23" s="12">
        <f t="shared" si="1"/>
        <v>6.2112400302835845E-3</v>
      </c>
      <c r="F23" s="12">
        <f t="shared" si="2"/>
        <v>1.3888754932282119E-2</v>
      </c>
      <c r="G23" s="12">
        <f t="shared" si="3"/>
        <v>25.000424376018227</v>
      </c>
      <c r="H23" s="12">
        <f t="shared" si="4"/>
        <v>25.002121909858712</v>
      </c>
      <c r="I23" s="4" t="str">
        <f t="shared" si="5"/>
        <v>left: b = x2</v>
      </c>
      <c r="J23" s="4" t="str">
        <f t="shared" si="6"/>
        <v>no</v>
      </c>
    </row>
    <row r="24" spans="1:10" x14ac:dyDescent="0.35">
      <c r="A24" s="4">
        <v>11</v>
      </c>
      <c r="B24" s="12">
        <f t="shared" si="7"/>
        <v>-6.2112400302838586E-3</v>
      </c>
      <c r="C24" s="12">
        <f t="shared" si="8"/>
        <v>1.3888754932282119E-2</v>
      </c>
      <c r="D24" s="12">
        <f t="shared" si="0"/>
        <v>2.0099994962565978E-2</v>
      </c>
      <c r="E24" s="12">
        <f t="shared" si="1"/>
        <v>1.4662748717146736E-3</v>
      </c>
      <c r="F24" s="12">
        <f t="shared" si="2"/>
        <v>6.2112400302835871E-3</v>
      </c>
      <c r="G24" s="12">
        <f t="shared" si="3"/>
        <v>25.00002364958662</v>
      </c>
      <c r="H24" s="12">
        <f t="shared" si="4"/>
        <v>25.000424376018227</v>
      </c>
      <c r="I24" s="4" t="str">
        <f t="shared" si="5"/>
        <v>left: b = x2</v>
      </c>
      <c r="J24" s="4" t="str">
        <f t="shared" si="6"/>
        <v>no</v>
      </c>
    </row>
    <row r="25" spans="1:10" x14ac:dyDescent="0.35">
      <c r="A25" s="4">
        <v>12</v>
      </c>
      <c r="B25" s="12">
        <f t="shared" si="7"/>
        <v>-6.2112400302838586E-3</v>
      </c>
      <c r="C25" s="12">
        <f t="shared" si="8"/>
        <v>6.2112400302835871E-3</v>
      </c>
      <c r="D25" s="12">
        <f t="shared" si="0"/>
        <v>1.2422480060567447E-2</v>
      </c>
      <c r="E25" s="12">
        <f t="shared" si="1"/>
        <v>-1.4662748717149468E-3</v>
      </c>
      <c r="F25" s="12">
        <f t="shared" si="2"/>
        <v>1.4662748717146753E-3</v>
      </c>
      <c r="G25" s="12">
        <f t="shared" si="3"/>
        <v>25.00002364958662</v>
      </c>
      <c r="H25" s="12">
        <f t="shared" si="4"/>
        <v>25.00002364958662</v>
      </c>
      <c r="I25" s="4" t="str">
        <f t="shared" si="5"/>
        <v>right: a = x1</v>
      </c>
      <c r="J25" s="4" t="str">
        <f t="shared" si="6"/>
        <v>no</v>
      </c>
    </row>
    <row r="26" spans="1:10" x14ac:dyDescent="0.35">
      <c r="A26" s="4">
        <v>13</v>
      </c>
      <c r="B26" s="12">
        <f t="shared" si="7"/>
        <v>-1.4662748717149468E-3</v>
      </c>
      <c r="C26" s="12">
        <f t="shared" si="8"/>
        <v>6.2112400302835871E-3</v>
      </c>
      <c r="D26" s="12">
        <f t="shared" si="0"/>
        <v>7.6775149019985339E-3</v>
      </c>
      <c r="E26" s="12">
        <f t="shared" si="1"/>
        <v>1.4662748717146749E-3</v>
      </c>
      <c r="F26" s="12">
        <f t="shared" si="2"/>
        <v>3.2786902868539654E-3</v>
      </c>
      <c r="G26" s="12">
        <f t="shared" si="3"/>
        <v>25.00002364958662</v>
      </c>
      <c r="H26" s="12">
        <f t="shared" si="4"/>
        <v>25.000118248025526</v>
      </c>
      <c r="I26" s="4" t="str">
        <f t="shared" si="5"/>
        <v>left: b = x2</v>
      </c>
      <c r="J26" s="4" t="str">
        <f t="shared" si="6"/>
        <v>no</v>
      </c>
    </row>
    <row r="27" spans="1:10" x14ac:dyDescent="0.35">
      <c r="A27" s="4">
        <v>14</v>
      </c>
      <c r="B27" s="12">
        <f t="shared" si="7"/>
        <v>-1.4662748717149468E-3</v>
      </c>
      <c r="C27" s="12">
        <f t="shared" si="8"/>
        <v>3.2786902868539654E-3</v>
      </c>
      <c r="D27" s="12">
        <f t="shared" si="0"/>
        <v>4.7449651585689118E-3</v>
      </c>
      <c r="E27" s="12">
        <f t="shared" si="1"/>
        <v>3.4614054342434284E-4</v>
      </c>
      <c r="F27" s="12">
        <f t="shared" si="2"/>
        <v>1.4662748717146758E-3</v>
      </c>
      <c r="G27" s="12">
        <f t="shared" si="3"/>
        <v>25.000001317946047</v>
      </c>
      <c r="H27" s="12">
        <f t="shared" si="4"/>
        <v>25.00002364958662</v>
      </c>
      <c r="I27" s="4" t="str">
        <f t="shared" si="5"/>
        <v>left: b = x2</v>
      </c>
      <c r="J27" s="4" t="str">
        <f t="shared" si="6"/>
        <v>no</v>
      </c>
    </row>
    <row r="28" spans="1:10" x14ac:dyDescent="0.35">
      <c r="A28" s="4">
        <v>15</v>
      </c>
      <c r="B28" s="12">
        <f t="shared" si="7"/>
        <v>-1.4662748717149468E-3</v>
      </c>
      <c r="C28" s="12">
        <f t="shared" si="8"/>
        <v>1.4662748717146758E-3</v>
      </c>
      <c r="D28" s="12">
        <f t="shared" si="0"/>
        <v>2.9325497434296226E-3</v>
      </c>
      <c r="E28" s="12">
        <f t="shared" si="1"/>
        <v>-3.4614054342461476E-4</v>
      </c>
      <c r="F28" s="12">
        <f t="shared" si="2"/>
        <v>3.4614054342434371E-4</v>
      </c>
      <c r="G28" s="12">
        <f t="shared" si="3"/>
        <v>25.000001317946047</v>
      </c>
      <c r="H28" s="12">
        <f t="shared" si="4"/>
        <v>25.000001317946047</v>
      </c>
      <c r="I28" s="4" t="str">
        <f t="shared" si="5"/>
        <v>right: a = x1</v>
      </c>
      <c r="J28" s="4" t="str">
        <f t="shared" si="6"/>
        <v>no</v>
      </c>
    </row>
    <row r="29" spans="1:10" x14ac:dyDescent="0.35">
      <c r="A29" s="4">
        <v>16</v>
      </c>
      <c r="B29" s="12">
        <f t="shared" si="7"/>
        <v>-3.4614054342461476E-4</v>
      </c>
      <c r="C29" s="12">
        <f t="shared" si="8"/>
        <v>1.4662748717146758E-3</v>
      </c>
      <c r="D29" s="12">
        <f t="shared" si="0"/>
        <v>1.8124154151392905E-3</v>
      </c>
      <c r="E29" s="12">
        <f t="shared" si="1"/>
        <v>3.4614054342434338E-4</v>
      </c>
      <c r="F29" s="12">
        <f t="shared" si="2"/>
        <v>7.7399378486571761E-4</v>
      </c>
      <c r="G29" s="12">
        <f t="shared" si="3"/>
        <v>25.000001317946047</v>
      </c>
      <c r="H29" s="12">
        <f t="shared" si="4"/>
        <v>25.000006589730525</v>
      </c>
      <c r="I29" s="4" t="str">
        <f t="shared" si="5"/>
        <v>left: b = x2</v>
      </c>
      <c r="J29" s="4" t="str">
        <f t="shared" si="6"/>
        <v>no</v>
      </c>
    </row>
    <row r="30" spans="1:10" x14ac:dyDescent="0.35">
      <c r="A30" s="4">
        <v>17</v>
      </c>
      <c r="B30" s="12">
        <f t="shared" si="7"/>
        <v>-3.4614054342461476E-4</v>
      </c>
      <c r="C30" s="12">
        <f t="shared" si="8"/>
        <v>7.7399378486571761E-4</v>
      </c>
      <c r="D30" s="12">
        <f t="shared" si="0"/>
        <v>1.1201343282903325E-3</v>
      </c>
      <c r="E30" s="12">
        <f t="shared" si="1"/>
        <v>8.1712698016759308E-5</v>
      </c>
      <c r="F30" s="12">
        <f t="shared" si="2"/>
        <v>3.4614054342434355E-4</v>
      </c>
      <c r="G30" s="12">
        <f t="shared" si="3"/>
        <v>25.000000073446614</v>
      </c>
      <c r="H30" s="12">
        <f t="shared" si="4"/>
        <v>25.000001317946047</v>
      </c>
      <c r="I30" s="4" t="str">
        <f t="shared" si="5"/>
        <v>left: b = x2</v>
      </c>
      <c r="J30" s="4" t="str">
        <f t="shared" si="6"/>
        <v>no</v>
      </c>
    </row>
    <row r="31" spans="1:10" x14ac:dyDescent="0.35">
      <c r="A31" s="4">
        <v>18</v>
      </c>
      <c r="B31" s="12">
        <f t="shared" si="7"/>
        <v>-3.4614054342461476E-4</v>
      </c>
      <c r="C31" s="12">
        <f t="shared" si="8"/>
        <v>3.4614054342434355E-4</v>
      </c>
      <c r="D31" s="12">
        <f t="shared" si="0"/>
        <v>6.9228108684895825E-4</v>
      </c>
      <c r="E31" s="12">
        <f t="shared" si="1"/>
        <v>-8.1712698017030576E-5</v>
      </c>
      <c r="F31" s="12">
        <f t="shared" si="2"/>
        <v>8.1712698016759362E-5</v>
      </c>
      <c r="G31" s="12">
        <f t="shared" si="3"/>
        <v>25.000000073446614</v>
      </c>
      <c r="H31" s="12">
        <f t="shared" si="4"/>
        <v>25.000000073446614</v>
      </c>
      <c r="I31" s="4" t="str">
        <f t="shared" si="5"/>
        <v>right: a = x1</v>
      </c>
      <c r="J31" s="4" t="str">
        <f t="shared" si="6"/>
        <v>no</v>
      </c>
    </row>
    <row r="32" spans="1:10" x14ac:dyDescent="0.35">
      <c r="A32" s="4">
        <v>19</v>
      </c>
      <c r="B32" s="12">
        <f t="shared" si="7"/>
        <v>-8.1712698017030576E-5</v>
      </c>
      <c r="C32" s="12">
        <f t="shared" si="8"/>
        <v>3.4614054342434355E-4</v>
      </c>
      <c r="D32" s="12">
        <f t="shared" si="0"/>
        <v>4.2785324144137412E-4</v>
      </c>
      <c r="E32" s="12">
        <f t="shared" si="1"/>
        <v>8.1712698016759254E-5</v>
      </c>
      <c r="F32" s="12">
        <f t="shared" si="2"/>
        <v>1.8271514739055372E-4</v>
      </c>
      <c r="G32" s="12">
        <f t="shared" si="3"/>
        <v>25.000000073446614</v>
      </c>
      <c r="H32" s="12">
        <f t="shared" si="4"/>
        <v>25.000000367233074</v>
      </c>
      <c r="I32" s="4" t="str">
        <f t="shared" si="5"/>
        <v>left: b = x2</v>
      </c>
      <c r="J32" s="4" t="str">
        <f t="shared" si="6"/>
        <v>no</v>
      </c>
    </row>
    <row r="33" spans="1:10" x14ac:dyDescent="0.35">
      <c r="A33" s="4">
        <v>20</v>
      </c>
      <c r="B33" s="12">
        <f t="shared" si="7"/>
        <v>-8.1712698017030576E-5</v>
      </c>
      <c r="C33" s="12">
        <f t="shared" si="8"/>
        <v>1.8271514739055372E-4</v>
      </c>
      <c r="D33" s="12">
        <f t="shared" si="0"/>
        <v>2.6442784540758429E-4</v>
      </c>
      <c r="E33" s="12">
        <f t="shared" si="1"/>
        <v>1.9289751356763818E-5</v>
      </c>
      <c r="F33" s="12">
        <f t="shared" si="2"/>
        <v>8.1712698016759322E-5</v>
      </c>
      <c r="G33" s="12">
        <f t="shared" si="3"/>
        <v>25.000000004093035</v>
      </c>
      <c r="H33" s="12">
        <f t="shared" si="4"/>
        <v>25.000000073446614</v>
      </c>
      <c r="I33" s="4" t="str">
        <f t="shared" si="5"/>
        <v>left: b = x2</v>
      </c>
      <c r="J33" s="4" t="str">
        <f t="shared" si="6"/>
        <v>no</v>
      </c>
    </row>
    <row r="34" spans="1:10" x14ac:dyDescent="0.35">
      <c r="A34" s="4">
        <v>21</v>
      </c>
      <c r="B34" s="12">
        <f t="shared" si="7"/>
        <v>-8.1712698017030576E-5</v>
      </c>
      <c r="C34" s="12">
        <f t="shared" si="8"/>
        <v>8.1712698016759322E-5</v>
      </c>
      <c r="D34" s="12">
        <f t="shared" si="0"/>
        <v>1.6342539603378988E-4</v>
      </c>
      <c r="E34" s="12">
        <f t="shared" si="1"/>
        <v>-1.9289751357035113E-5</v>
      </c>
      <c r="F34" s="12">
        <f t="shared" si="2"/>
        <v>1.9289751356763859E-5</v>
      </c>
      <c r="G34" s="12">
        <f t="shared" si="3"/>
        <v>25.000000004093035</v>
      </c>
      <c r="H34" s="12">
        <f t="shared" si="4"/>
        <v>25.000000004093035</v>
      </c>
      <c r="I34" s="4" t="str">
        <f t="shared" si="5"/>
        <v>right: a = x1</v>
      </c>
      <c r="J34" s="4" t="str">
        <f t="shared" si="6"/>
        <v>no</v>
      </c>
    </row>
    <row r="35" spans="1:10" x14ac:dyDescent="0.35">
      <c r="A35" s="4">
        <v>22</v>
      </c>
      <c r="B35" s="12">
        <f t="shared" si="7"/>
        <v>-1.9289751357035113E-5</v>
      </c>
      <c r="C35" s="12">
        <f t="shared" si="8"/>
        <v>8.1712698016759322E-5</v>
      </c>
      <c r="D35" s="12">
        <f t="shared" si="0"/>
        <v>1.0100244937379443E-4</v>
      </c>
      <c r="E35" s="12">
        <f t="shared" si="1"/>
        <v>1.9289751356763825E-5</v>
      </c>
      <c r="F35" s="12">
        <f t="shared" si="2"/>
        <v>4.3133195302960384E-5</v>
      </c>
      <c r="G35" s="12">
        <f t="shared" si="3"/>
        <v>25.000000004093035</v>
      </c>
      <c r="H35" s="12">
        <f t="shared" si="4"/>
        <v>25.000000020465198</v>
      </c>
      <c r="I35" s="4" t="str">
        <f t="shared" si="5"/>
        <v>left: b = x2</v>
      </c>
      <c r="J35" s="4" t="str">
        <f t="shared" si="6"/>
        <v>no</v>
      </c>
    </row>
    <row r="36" spans="1:10" x14ac:dyDescent="0.35">
      <c r="A36" s="4">
        <v>23</v>
      </c>
      <c r="B36" s="12">
        <f t="shared" si="7"/>
        <v>-1.9289751357035113E-5</v>
      </c>
      <c r="C36" s="12">
        <f t="shared" si="8"/>
        <v>4.3133195302960384E-5</v>
      </c>
      <c r="D36" s="12">
        <f t="shared" si="0"/>
        <v>6.2422946659995503E-5</v>
      </c>
      <c r="E36" s="12">
        <f t="shared" si="1"/>
        <v>4.5536925891614388E-6</v>
      </c>
      <c r="F36" s="12">
        <f t="shared" si="2"/>
        <v>1.9289751356763832E-5</v>
      </c>
      <c r="G36" s="12">
        <f t="shared" si="3"/>
        <v>25.000000000228102</v>
      </c>
      <c r="H36" s="12">
        <f t="shared" si="4"/>
        <v>25.000000004093035</v>
      </c>
      <c r="I36" s="4" t="str">
        <f t="shared" si="5"/>
        <v>left: b = x2</v>
      </c>
      <c r="J36" s="4" t="str">
        <f t="shared" si="6"/>
        <v>no</v>
      </c>
    </row>
    <row r="37" spans="1:10" x14ac:dyDescent="0.35">
      <c r="A37" s="4">
        <v>24</v>
      </c>
      <c r="B37" s="12">
        <f t="shared" si="7"/>
        <v>-1.9289751357035113E-5</v>
      </c>
      <c r="C37" s="12">
        <f t="shared" si="8"/>
        <v>1.9289751356763832E-5</v>
      </c>
      <c r="D37" s="12">
        <f t="shared" si="0"/>
        <v>3.8579502713798945E-5</v>
      </c>
      <c r="E37" s="12">
        <f t="shared" si="1"/>
        <v>-4.5536925894327248E-6</v>
      </c>
      <c r="F37" s="12">
        <f t="shared" si="2"/>
        <v>4.5536925891614439E-6</v>
      </c>
      <c r="G37" s="12">
        <f t="shared" si="3"/>
        <v>25.000000000228102</v>
      </c>
      <c r="H37" s="12">
        <f t="shared" si="4"/>
        <v>25.000000000228102</v>
      </c>
      <c r="I37" s="4" t="str">
        <f t="shared" si="5"/>
        <v>right: a = x1</v>
      </c>
      <c r="J37" s="4" t="str">
        <f t="shared" si="6"/>
        <v>no</v>
      </c>
    </row>
    <row r="38" spans="1:10" x14ac:dyDescent="0.35">
      <c r="A38" s="4">
        <v>25</v>
      </c>
      <c r="B38" s="12">
        <f t="shared" si="7"/>
        <v>-4.5536925894327248E-6</v>
      </c>
      <c r="C38" s="12">
        <f t="shared" si="8"/>
        <v>1.9289751356763832E-5</v>
      </c>
      <c r="D38" s="12">
        <f t="shared" si="0"/>
        <v>2.3843443946196558E-5</v>
      </c>
      <c r="E38" s="12">
        <f t="shared" si="1"/>
        <v>4.5536925891614405E-6</v>
      </c>
      <c r="F38" s="12">
        <f t="shared" si="2"/>
        <v>1.0182366178169667E-5</v>
      </c>
      <c r="G38" s="12">
        <f t="shared" si="3"/>
        <v>25.000000000228102</v>
      </c>
      <c r="H38" s="12">
        <f t="shared" si="4"/>
        <v>25.000000001140485</v>
      </c>
      <c r="I38" s="4" t="str">
        <f t="shared" si="5"/>
        <v>left: b = x2</v>
      </c>
      <c r="J38" s="4" t="str">
        <f t="shared" si="6"/>
        <v>no</v>
      </c>
    </row>
    <row r="39" spans="1:10" x14ac:dyDescent="0.35">
      <c r="A39" s="4">
        <v>26</v>
      </c>
      <c r="B39" s="12">
        <f t="shared" si="7"/>
        <v>-4.5536925894327248E-6</v>
      </c>
      <c r="C39" s="12">
        <f t="shared" si="8"/>
        <v>1.0182366178169667E-5</v>
      </c>
      <c r="D39" s="12">
        <f t="shared" si="0"/>
        <v>1.4736058767602391E-5</v>
      </c>
      <c r="E39" s="12">
        <f t="shared" si="1"/>
        <v>1.0749809995755005E-6</v>
      </c>
      <c r="F39" s="12">
        <f t="shared" si="2"/>
        <v>4.5536925891614413E-6</v>
      </c>
      <c r="G39" s="12">
        <f t="shared" si="3"/>
        <v>25.000000000012708</v>
      </c>
      <c r="H39" s="12">
        <f t="shared" si="4"/>
        <v>25.000000000228102</v>
      </c>
      <c r="I39" s="4" t="str">
        <f t="shared" si="5"/>
        <v>left: b = x2</v>
      </c>
      <c r="J39" s="4" t="str">
        <f t="shared" si="6"/>
        <v>no</v>
      </c>
    </row>
    <row r="40" spans="1:10" x14ac:dyDescent="0.35">
      <c r="A40" s="4">
        <v>27</v>
      </c>
      <c r="B40" s="12">
        <f t="shared" si="7"/>
        <v>-4.5536925894327248E-6</v>
      </c>
      <c r="C40" s="12">
        <f t="shared" si="8"/>
        <v>4.5536925891614413E-6</v>
      </c>
      <c r="D40" s="12">
        <f t="shared" si="0"/>
        <v>9.1073851785941653E-6</v>
      </c>
      <c r="E40" s="12">
        <f t="shared" si="1"/>
        <v>-1.0749809998467853E-6</v>
      </c>
      <c r="F40" s="12">
        <f t="shared" si="2"/>
        <v>1.0749809995755018E-6</v>
      </c>
      <c r="G40" s="12">
        <f t="shared" si="3"/>
        <v>25.000000000012708</v>
      </c>
      <c r="H40" s="12">
        <f t="shared" si="4"/>
        <v>25.000000000012708</v>
      </c>
      <c r="I40" s="4" t="str">
        <f t="shared" si="5"/>
        <v>right: a = x1</v>
      </c>
      <c r="J40" s="4" t="str">
        <f t="shared" si="6"/>
        <v>no</v>
      </c>
    </row>
    <row r="41" spans="1:10" x14ac:dyDescent="0.35">
      <c r="A41" s="4">
        <v>28</v>
      </c>
      <c r="B41" s="12">
        <f t="shared" si="7"/>
        <v>-1.0749809998467853E-6</v>
      </c>
      <c r="C41" s="12">
        <f t="shared" si="8"/>
        <v>4.5536925891614413E-6</v>
      </c>
      <c r="D41" s="12">
        <f t="shared" si="0"/>
        <v>5.6286735890082262E-6</v>
      </c>
      <c r="E41" s="12">
        <f t="shared" si="1"/>
        <v>1.0749809995755001E-6</v>
      </c>
      <c r="F41" s="12">
        <f t="shared" si="2"/>
        <v>2.403730589739156E-6</v>
      </c>
      <c r="G41" s="12">
        <f t="shared" si="3"/>
        <v>25.000000000012708</v>
      </c>
      <c r="H41" s="12">
        <f t="shared" si="4"/>
        <v>25.000000000063551</v>
      </c>
      <c r="I41" s="4" t="str">
        <f t="shared" si="5"/>
        <v>left: b = x2</v>
      </c>
      <c r="J41" s="4" t="str">
        <f t="shared" si="6"/>
        <v>no</v>
      </c>
    </row>
    <row r="42" spans="1:10" x14ac:dyDescent="0.35">
      <c r="A42" s="4">
        <v>29</v>
      </c>
      <c r="B42" s="12">
        <f t="shared" si="7"/>
        <v>-1.0749809998467853E-6</v>
      </c>
      <c r="C42" s="12">
        <f t="shared" si="8"/>
        <v>2.403730589739156E-6</v>
      </c>
      <c r="D42" s="12">
        <f t="shared" si="0"/>
        <v>3.4787115895859412E-6</v>
      </c>
      <c r="E42" s="12">
        <f t="shared" si="1"/>
        <v>2.537685903168693E-7</v>
      </c>
      <c r="F42" s="12">
        <f t="shared" si="2"/>
        <v>1.0749809995755014E-6</v>
      </c>
      <c r="G42" s="12">
        <f t="shared" si="3"/>
        <v>25.000000000000711</v>
      </c>
      <c r="H42" s="12">
        <f t="shared" si="4"/>
        <v>25.000000000012708</v>
      </c>
      <c r="I42" s="4" t="str">
        <f t="shared" si="5"/>
        <v>left: b = x2</v>
      </c>
      <c r="J42" s="4" t="str">
        <f t="shared" si="6"/>
        <v>no</v>
      </c>
    </row>
    <row r="43" spans="1:10" x14ac:dyDescent="0.35">
      <c r="A43" s="4">
        <v>30</v>
      </c>
      <c r="B43" s="12">
        <f t="shared" si="7"/>
        <v>-1.0749809998467853E-6</v>
      </c>
      <c r="C43" s="12">
        <f t="shared" si="8"/>
        <v>1.0749809995755014E-6</v>
      </c>
      <c r="D43" s="12">
        <f t="shared" si="0"/>
        <v>2.1499619994222866E-6</v>
      </c>
      <c r="E43" s="12">
        <f t="shared" si="1"/>
        <v>-2.5376859058815373E-7</v>
      </c>
      <c r="F43" s="12">
        <f t="shared" si="2"/>
        <v>2.5376859031686983E-7</v>
      </c>
      <c r="G43" s="12">
        <f t="shared" si="3"/>
        <v>25.000000000000711</v>
      </c>
      <c r="H43" s="12">
        <f t="shared" si="4"/>
        <v>25.000000000000711</v>
      </c>
      <c r="I43" s="4" t="str">
        <f t="shared" si="5"/>
        <v>right: a = x1</v>
      </c>
      <c r="J43" s="4" t="str">
        <f t="shared" si="6"/>
        <v>no</v>
      </c>
    </row>
    <row r="44" spans="1:10" x14ac:dyDescent="0.35">
      <c r="A44" s="4">
        <v>31</v>
      </c>
      <c r="B44" s="12">
        <f t="shared" si="7"/>
        <v>-2.5376859058815373E-7</v>
      </c>
      <c r="C44" s="12">
        <f t="shared" si="8"/>
        <v>1.0749809995755014E-6</v>
      </c>
      <c r="D44" s="12">
        <f t="shared" si="0"/>
        <v>1.328749590163655E-6</v>
      </c>
      <c r="E44" s="12">
        <f t="shared" si="1"/>
        <v>2.5376859031686941E-7</v>
      </c>
      <c r="F44" s="12">
        <f t="shared" si="2"/>
        <v>5.6744381867047823E-7</v>
      </c>
      <c r="G44" s="12">
        <f t="shared" si="3"/>
        <v>25.000000000000711</v>
      </c>
      <c r="H44" s="12">
        <f t="shared" si="4"/>
        <v>25.000000000003549</v>
      </c>
      <c r="I44" s="4" t="str">
        <f t="shared" si="5"/>
        <v>left: b = x2</v>
      </c>
      <c r="J44" s="4" t="str">
        <f t="shared" si="6"/>
        <v>no</v>
      </c>
    </row>
    <row r="45" spans="1:10" x14ac:dyDescent="0.35">
      <c r="A45" s="4">
        <v>32</v>
      </c>
      <c r="B45" s="12">
        <f t="shared" si="7"/>
        <v>-2.5376859058815373E-7</v>
      </c>
      <c r="C45" s="12">
        <f t="shared" si="8"/>
        <v>5.6744381867047823E-7</v>
      </c>
      <c r="D45" s="12">
        <f t="shared" ref="D45:D62" si="9">C45-B45</f>
        <v>8.2121240925863196E-7</v>
      </c>
      <c r="E45" s="12">
        <f t="shared" ref="E45:E62" si="10">B45+$F$4*(C45-B45)</f>
        <v>5.9906637765454769E-8</v>
      </c>
      <c r="F45" s="12">
        <f t="shared" ref="F45:F62" si="11">C45-$F$4*(C45-B45)</f>
        <v>2.5376859031686973E-7</v>
      </c>
      <c r="G45" s="12">
        <f t="shared" ref="G45:G62" si="12">(E45-$B$3)^2+($B$5*E45^2+$B$6*E45+$B$7-$B$4)^2</f>
        <v>25.000000000000039</v>
      </c>
      <c r="H45" s="12">
        <f t="shared" ref="H45:H62" si="13">(F45-$B$3)^2+($B$5*F45^2+$B$6*F45+$B$7-$B$4)^2</f>
        <v>25.000000000000711</v>
      </c>
      <c r="I45" s="4" t="str">
        <f t="shared" ref="I45:I62" si="14">IF(J45="yes","-",IF(G45&lt;H45,"left: b = x2","right: a = x1"))</f>
        <v>left: b = x2</v>
      </c>
      <c r="J45" s="4" t="str">
        <f t="shared" ref="J45:J62" si="15">IF(D45&lt;$B$10,"yes","no")</f>
        <v>no</v>
      </c>
    </row>
    <row r="46" spans="1:10" x14ac:dyDescent="0.35">
      <c r="A46" s="4">
        <v>33</v>
      </c>
      <c r="B46" s="12">
        <f t="shared" ref="B46:B62" si="16">IF(J45="yes",B45,IF(G45&lt;H45,B45,E45))</f>
        <v>-2.5376859058815373E-7</v>
      </c>
      <c r="C46" s="12">
        <f t="shared" ref="C46:C62" si="17">IF(J45="yes",C45,IF(G45&lt;H45,F45,C45))</f>
        <v>2.5376859031686973E-7</v>
      </c>
      <c r="D46" s="12">
        <f t="shared" si="9"/>
        <v>5.0753718090502346E-7</v>
      </c>
      <c r="E46" s="12">
        <f t="shared" si="10"/>
        <v>-5.9906638036738908E-8</v>
      </c>
      <c r="F46" s="12">
        <f t="shared" si="11"/>
        <v>5.9906637765454901E-8</v>
      </c>
      <c r="G46" s="12">
        <f t="shared" si="12"/>
        <v>25.000000000000039</v>
      </c>
      <c r="H46" s="12">
        <f t="shared" si="13"/>
        <v>25.000000000000039</v>
      </c>
      <c r="I46" s="4" t="str">
        <f t="shared" si="14"/>
        <v>right: a = x1</v>
      </c>
      <c r="J46" s="4" t="str">
        <f t="shared" si="15"/>
        <v>no</v>
      </c>
    </row>
    <row r="47" spans="1:10" x14ac:dyDescent="0.35">
      <c r="A47" s="4">
        <v>34</v>
      </c>
      <c r="B47" s="12">
        <f t="shared" si="16"/>
        <v>-5.9906638036738908E-8</v>
      </c>
      <c r="C47" s="12">
        <f t="shared" si="17"/>
        <v>2.5376859031686973E-7</v>
      </c>
      <c r="D47" s="12">
        <f t="shared" si="9"/>
        <v>3.1367522835360861E-7</v>
      </c>
      <c r="E47" s="12">
        <f t="shared" si="10"/>
        <v>5.9906637765454849E-8</v>
      </c>
      <c r="F47" s="12">
        <f t="shared" si="11"/>
        <v>1.3395531451467597E-7</v>
      </c>
      <c r="G47" s="12">
        <f t="shared" si="12"/>
        <v>25.000000000000039</v>
      </c>
      <c r="H47" s="12">
        <f t="shared" si="13"/>
        <v>25.000000000000195</v>
      </c>
      <c r="I47" s="4" t="str">
        <f t="shared" si="14"/>
        <v>left: b = x2</v>
      </c>
      <c r="J47" s="4" t="str">
        <f t="shared" si="15"/>
        <v>no</v>
      </c>
    </row>
    <row r="48" spans="1:10" x14ac:dyDescent="0.35">
      <c r="A48" s="4">
        <v>35</v>
      </c>
      <c r="B48" s="12">
        <f t="shared" si="16"/>
        <v>-5.9906638036738908E-8</v>
      </c>
      <c r="C48" s="12">
        <f t="shared" si="17"/>
        <v>1.3395531451467597E-7</v>
      </c>
      <c r="D48" s="12">
        <f t="shared" si="9"/>
        <v>1.9386195255141488E-7</v>
      </c>
      <c r="E48" s="12">
        <f t="shared" si="10"/>
        <v>1.4142038712482175E-8</v>
      </c>
      <c r="F48" s="12">
        <f t="shared" si="11"/>
        <v>5.9906637765454888E-8</v>
      </c>
      <c r="G48" s="12">
        <f t="shared" si="12"/>
        <v>25</v>
      </c>
      <c r="H48" s="12">
        <f t="shared" si="13"/>
        <v>25.000000000000039</v>
      </c>
      <c r="I48" s="4" t="str">
        <f t="shared" si="14"/>
        <v>right: a = x1</v>
      </c>
      <c r="J48" s="4" t="str">
        <f t="shared" si="15"/>
        <v>no</v>
      </c>
    </row>
    <row r="49" spans="1:10" x14ac:dyDescent="0.35">
      <c r="A49" s="4">
        <v>36</v>
      </c>
      <c r="B49" s="12">
        <f t="shared" si="16"/>
        <v>1.4142038712482175E-8</v>
      </c>
      <c r="C49" s="12">
        <f t="shared" si="17"/>
        <v>1.3395531451467597E-7</v>
      </c>
      <c r="D49" s="12">
        <f t="shared" si="9"/>
        <v>1.1981327580219381E-7</v>
      </c>
      <c r="E49" s="12">
        <f t="shared" si="10"/>
        <v>5.9906637765454875E-8</v>
      </c>
      <c r="F49" s="12">
        <f t="shared" si="11"/>
        <v>8.8190715461703257E-8</v>
      </c>
      <c r="G49" s="12">
        <f t="shared" si="12"/>
        <v>25.000000000000039</v>
      </c>
      <c r="H49" s="12">
        <f t="shared" si="13"/>
        <v>25.000000000000085</v>
      </c>
      <c r="I49" s="4" t="str">
        <f t="shared" si="14"/>
        <v>left: b = x2</v>
      </c>
      <c r="J49" s="4" t="str">
        <f t="shared" si="15"/>
        <v>no</v>
      </c>
    </row>
    <row r="50" spans="1:10" x14ac:dyDescent="0.35">
      <c r="A50" s="4">
        <v>37</v>
      </c>
      <c r="B50" s="12">
        <f t="shared" si="16"/>
        <v>1.4142038712482175E-8</v>
      </c>
      <c r="C50" s="12">
        <f t="shared" si="17"/>
        <v>8.8190715461703257E-8</v>
      </c>
      <c r="D50" s="12">
        <f t="shared" si="9"/>
        <v>7.4048676749221083E-8</v>
      </c>
      <c r="E50" s="12">
        <f t="shared" si="10"/>
        <v>4.242611640873055E-8</v>
      </c>
      <c r="F50" s="12">
        <f t="shared" si="11"/>
        <v>5.9906637765454875E-8</v>
      </c>
      <c r="G50" s="12">
        <f t="shared" si="12"/>
        <v>25.000000000000021</v>
      </c>
      <c r="H50" s="12">
        <f t="shared" si="13"/>
        <v>25.000000000000039</v>
      </c>
      <c r="I50" s="4" t="str">
        <f t="shared" si="14"/>
        <v>-</v>
      </c>
      <c r="J50" s="4" t="str">
        <f t="shared" si="15"/>
        <v>yes</v>
      </c>
    </row>
    <row r="51" spans="1:10" x14ac:dyDescent="0.35">
      <c r="A51" s="4">
        <v>38</v>
      </c>
      <c r="B51" s="12">
        <f t="shared" si="16"/>
        <v>1.4142038712482175E-8</v>
      </c>
      <c r="C51" s="12">
        <f t="shared" si="17"/>
        <v>8.8190715461703257E-8</v>
      </c>
      <c r="D51" s="12">
        <f t="shared" si="9"/>
        <v>7.4048676749221083E-8</v>
      </c>
      <c r="E51" s="12">
        <f t="shared" si="10"/>
        <v>4.242611640873055E-8</v>
      </c>
      <c r="F51" s="12">
        <f t="shared" si="11"/>
        <v>5.9906637765454875E-8</v>
      </c>
      <c r="G51" s="12">
        <f t="shared" si="12"/>
        <v>25.000000000000021</v>
      </c>
      <c r="H51" s="12">
        <f t="shared" si="13"/>
        <v>25.000000000000039</v>
      </c>
      <c r="I51" s="4" t="str">
        <f t="shared" si="14"/>
        <v>-</v>
      </c>
      <c r="J51" s="4" t="str">
        <f t="shared" si="15"/>
        <v>yes</v>
      </c>
    </row>
    <row r="52" spans="1:10" x14ac:dyDescent="0.35">
      <c r="A52" s="4">
        <v>39</v>
      </c>
      <c r="B52" s="12">
        <f t="shared" si="16"/>
        <v>1.4142038712482175E-8</v>
      </c>
      <c r="C52" s="12">
        <f t="shared" si="17"/>
        <v>8.8190715461703257E-8</v>
      </c>
      <c r="D52" s="12">
        <f t="shared" si="9"/>
        <v>7.4048676749221083E-8</v>
      </c>
      <c r="E52" s="12">
        <f t="shared" si="10"/>
        <v>4.242611640873055E-8</v>
      </c>
      <c r="F52" s="12">
        <f t="shared" si="11"/>
        <v>5.9906637765454875E-8</v>
      </c>
      <c r="G52" s="12">
        <f t="shared" si="12"/>
        <v>25.000000000000021</v>
      </c>
      <c r="H52" s="12">
        <f t="shared" si="13"/>
        <v>25.000000000000039</v>
      </c>
      <c r="I52" s="4" t="str">
        <f t="shared" si="14"/>
        <v>-</v>
      </c>
      <c r="J52" s="4" t="str">
        <f t="shared" si="15"/>
        <v>yes</v>
      </c>
    </row>
    <row r="53" spans="1:10" x14ac:dyDescent="0.35">
      <c r="A53" s="4">
        <v>40</v>
      </c>
      <c r="B53" s="12">
        <f t="shared" si="16"/>
        <v>1.4142038712482175E-8</v>
      </c>
      <c r="C53" s="12">
        <f t="shared" si="17"/>
        <v>8.8190715461703257E-8</v>
      </c>
      <c r="D53" s="12">
        <f t="shared" si="9"/>
        <v>7.4048676749221083E-8</v>
      </c>
      <c r="E53" s="12">
        <f t="shared" si="10"/>
        <v>4.242611640873055E-8</v>
      </c>
      <c r="F53" s="12">
        <f t="shared" si="11"/>
        <v>5.9906637765454875E-8</v>
      </c>
      <c r="G53" s="12">
        <f t="shared" si="12"/>
        <v>25.000000000000021</v>
      </c>
      <c r="H53" s="12">
        <f t="shared" si="13"/>
        <v>25.000000000000039</v>
      </c>
      <c r="I53" s="4" t="str">
        <f t="shared" si="14"/>
        <v>-</v>
      </c>
      <c r="J53" s="4" t="str">
        <f t="shared" si="15"/>
        <v>yes</v>
      </c>
    </row>
    <row r="54" spans="1:10" x14ac:dyDescent="0.35">
      <c r="A54" s="4">
        <v>41</v>
      </c>
      <c r="B54" s="12">
        <f t="shared" si="16"/>
        <v>1.4142038712482175E-8</v>
      </c>
      <c r="C54" s="12">
        <f t="shared" si="17"/>
        <v>8.8190715461703257E-8</v>
      </c>
      <c r="D54" s="12">
        <f t="shared" si="9"/>
        <v>7.4048676749221083E-8</v>
      </c>
      <c r="E54" s="12">
        <f t="shared" si="10"/>
        <v>4.242611640873055E-8</v>
      </c>
      <c r="F54" s="12">
        <f t="shared" si="11"/>
        <v>5.9906637765454875E-8</v>
      </c>
      <c r="G54" s="12">
        <f t="shared" si="12"/>
        <v>25.000000000000021</v>
      </c>
      <c r="H54" s="12">
        <f t="shared" si="13"/>
        <v>25.000000000000039</v>
      </c>
      <c r="I54" s="4" t="str">
        <f t="shared" si="14"/>
        <v>-</v>
      </c>
      <c r="J54" s="4" t="str">
        <f t="shared" si="15"/>
        <v>yes</v>
      </c>
    </row>
    <row r="55" spans="1:10" x14ac:dyDescent="0.35">
      <c r="A55" s="4">
        <v>42</v>
      </c>
      <c r="B55" s="12">
        <f t="shared" si="16"/>
        <v>1.4142038712482175E-8</v>
      </c>
      <c r="C55" s="12">
        <f t="shared" si="17"/>
        <v>8.8190715461703257E-8</v>
      </c>
      <c r="D55" s="12">
        <f t="shared" si="9"/>
        <v>7.4048676749221083E-8</v>
      </c>
      <c r="E55" s="12">
        <f t="shared" si="10"/>
        <v>4.242611640873055E-8</v>
      </c>
      <c r="F55" s="12">
        <f t="shared" si="11"/>
        <v>5.9906637765454875E-8</v>
      </c>
      <c r="G55" s="12">
        <f t="shared" si="12"/>
        <v>25.000000000000021</v>
      </c>
      <c r="H55" s="12">
        <f t="shared" si="13"/>
        <v>25.000000000000039</v>
      </c>
      <c r="I55" s="4" t="str">
        <f t="shared" si="14"/>
        <v>-</v>
      </c>
      <c r="J55" s="4" t="str">
        <f t="shared" si="15"/>
        <v>yes</v>
      </c>
    </row>
    <row r="56" spans="1:10" x14ac:dyDescent="0.35">
      <c r="A56" s="4">
        <v>43</v>
      </c>
      <c r="B56" s="12">
        <f t="shared" si="16"/>
        <v>1.4142038712482175E-8</v>
      </c>
      <c r="C56" s="12">
        <f t="shared" si="17"/>
        <v>8.8190715461703257E-8</v>
      </c>
      <c r="D56" s="12">
        <f t="shared" si="9"/>
        <v>7.4048676749221083E-8</v>
      </c>
      <c r="E56" s="12">
        <f t="shared" si="10"/>
        <v>4.242611640873055E-8</v>
      </c>
      <c r="F56" s="12">
        <f t="shared" si="11"/>
        <v>5.9906637765454875E-8</v>
      </c>
      <c r="G56" s="12">
        <f t="shared" si="12"/>
        <v>25.000000000000021</v>
      </c>
      <c r="H56" s="12">
        <f t="shared" si="13"/>
        <v>25.000000000000039</v>
      </c>
      <c r="I56" s="4" t="str">
        <f t="shared" si="14"/>
        <v>-</v>
      </c>
      <c r="J56" s="4" t="str">
        <f t="shared" si="15"/>
        <v>yes</v>
      </c>
    </row>
    <row r="57" spans="1:10" x14ac:dyDescent="0.35">
      <c r="A57" s="4">
        <v>44</v>
      </c>
      <c r="B57" s="12">
        <f t="shared" si="16"/>
        <v>1.4142038712482175E-8</v>
      </c>
      <c r="C57" s="12">
        <f t="shared" si="17"/>
        <v>8.8190715461703257E-8</v>
      </c>
      <c r="D57" s="12">
        <f t="shared" si="9"/>
        <v>7.4048676749221083E-8</v>
      </c>
      <c r="E57" s="12">
        <f t="shared" si="10"/>
        <v>4.242611640873055E-8</v>
      </c>
      <c r="F57" s="12">
        <f t="shared" si="11"/>
        <v>5.9906637765454875E-8</v>
      </c>
      <c r="G57" s="12">
        <f t="shared" si="12"/>
        <v>25.000000000000021</v>
      </c>
      <c r="H57" s="12">
        <f t="shared" si="13"/>
        <v>25.000000000000039</v>
      </c>
      <c r="I57" s="4" t="str">
        <f t="shared" si="14"/>
        <v>-</v>
      </c>
      <c r="J57" s="4" t="str">
        <f t="shared" si="15"/>
        <v>yes</v>
      </c>
    </row>
    <row r="58" spans="1:10" x14ac:dyDescent="0.35">
      <c r="A58" s="4">
        <v>45</v>
      </c>
      <c r="B58" s="12">
        <f t="shared" si="16"/>
        <v>1.4142038712482175E-8</v>
      </c>
      <c r="C58" s="12">
        <f t="shared" si="17"/>
        <v>8.8190715461703257E-8</v>
      </c>
      <c r="D58" s="12">
        <f t="shared" si="9"/>
        <v>7.4048676749221083E-8</v>
      </c>
      <c r="E58" s="12">
        <f t="shared" si="10"/>
        <v>4.242611640873055E-8</v>
      </c>
      <c r="F58" s="12">
        <f t="shared" si="11"/>
        <v>5.9906637765454875E-8</v>
      </c>
      <c r="G58" s="12">
        <f t="shared" si="12"/>
        <v>25.000000000000021</v>
      </c>
      <c r="H58" s="12">
        <f t="shared" si="13"/>
        <v>25.000000000000039</v>
      </c>
      <c r="I58" s="4" t="str">
        <f t="shared" si="14"/>
        <v>-</v>
      </c>
      <c r="J58" s="4" t="str">
        <f t="shared" si="15"/>
        <v>yes</v>
      </c>
    </row>
    <row r="59" spans="1:10" x14ac:dyDescent="0.35">
      <c r="A59" s="4">
        <v>46</v>
      </c>
      <c r="B59" s="12">
        <f t="shared" si="16"/>
        <v>1.4142038712482175E-8</v>
      </c>
      <c r="C59" s="12">
        <f t="shared" si="17"/>
        <v>8.8190715461703257E-8</v>
      </c>
      <c r="D59" s="12">
        <f t="shared" si="9"/>
        <v>7.4048676749221083E-8</v>
      </c>
      <c r="E59" s="12">
        <f t="shared" si="10"/>
        <v>4.242611640873055E-8</v>
      </c>
      <c r="F59" s="12">
        <f t="shared" si="11"/>
        <v>5.9906637765454875E-8</v>
      </c>
      <c r="G59" s="12">
        <f t="shared" si="12"/>
        <v>25.000000000000021</v>
      </c>
      <c r="H59" s="12">
        <f t="shared" si="13"/>
        <v>25.000000000000039</v>
      </c>
      <c r="I59" s="4" t="str">
        <f t="shared" si="14"/>
        <v>-</v>
      </c>
      <c r="J59" s="4" t="str">
        <f t="shared" si="15"/>
        <v>yes</v>
      </c>
    </row>
    <row r="60" spans="1:10" x14ac:dyDescent="0.35">
      <c r="A60" s="4">
        <v>47</v>
      </c>
      <c r="B60" s="12">
        <f t="shared" si="16"/>
        <v>1.4142038712482175E-8</v>
      </c>
      <c r="C60" s="12">
        <f t="shared" si="17"/>
        <v>8.8190715461703257E-8</v>
      </c>
      <c r="D60" s="12">
        <f t="shared" si="9"/>
        <v>7.4048676749221083E-8</v>
      </c>
      <c r="E60" s="12">
        <f t="shared" si="10"/>
        <v>4.242611640873055E-8</v>
      </c>
      <c r="F60" s="12">
        <f t="shared" si="11"/>
        <v>5.9906637765454875E-8</v>
      </c>
      <c r="G60" s="12">
        <f t="shared" si="12"/>
        <v>25.000000000000021</v>
      </c>
      <c r="H60" s="12">
        <f t="shared" si="13"/>
        <v>25.000000000000039</v>
      </c>
      <c r="I60" s="4" t="str">
        <f t="shared" si="14"/>
        <v>-</v>
      </c>
      <c r="J60" s="4" t="str">
        <f t="shared" si="15"/>
        <v>yes</v>
      </c>
    </row>
    <row r="61" spans="1:10" x14ac:dyDescent="0.35">
      <c r="A61" s="4">
        <v>48</v>
      </c>
      <c r="B61" s="12">
        <f t="shared" si="16"/>
        <v>1.4142038712482175E-8</v>
      </c>
      <c r="C61" s="12">
        <f t="shared" si="17"/>
        <v>8.8190715461703257E-8</v>
      </c>
      <c r="D61" s="12">
        <f t="shared" si="9"/>
        <v>7.4048676749221083E-8</v>
      </c>
      <c r="E61" s="12">
        <f t="shared" si="10"/>
        <v>4.242611640873055E-8</v>
      </c>
      <c r="F61" s="12">
        <f t="shared" si="11"/>
        <v>5.9906637765454875E-8</v>
      </c>
      <c r="G61" s="12">
        <f t="shared" si="12"/>
        <v>25.000000000000021</v>
      </c>
      <c r="H61" s="12">
        <f t="shared" si="13"/>
        <v>25.000000000000039</v>
      </c>
      <c r="I61" s="4" t="str">
        <f t="shared" si="14"/>
        <v>-</v>
      </c>
      <c r="J61" s="4" t="str">
        <f t="shared" si="15"/>
        <v>yes</v>
      </c>
    </row>
    <row r="62" spans="1:10" x14ac:dyDescent="0.35">
      <c r="A62" s="4">
        <v>49</v>
      </c>
      <c r="B62" s="12">
        <f t="shared" si="16"/>
        <v>1.4142038712482175E-8</v>
      </c>
      <c r="C62" s="12">
        <f t="shared" si="17"/>
        <v>8.8190715461703257E-8</v>
      </c>
      <c r="D62" s="12">
        <f t="shared" si="9"/>
        <v>7.4048676749221083E-8</v>
      </c>
      <c r="E62" s="12">
        <f t="shared" si="10"/>
        <v>4.242611640873055E-8</v>
      </c>
      <c r="F62" s="12">
        <f t="shared" si="11"/>
        <v>5.9906637765454875E-8</v>
      </c>
      <c r="G62" s="12">
        <f t="shared" si="12"/>
        <v>25.000000000000021</v>
      </c>
      <c r="H62" s="12">
        <f t="shared" si="13"/>
        <v>25.000000000000039</v>
      </c>
      <c r="I62" s="4" t="str">
        <f t="shared" si="14"/>
        <v>-</v>
      </c>
      <c r="J62" s="4" t="str">
        <f t="shared" si="15"/>
        <v>yes</v>
      </c>
    </row>
    <row r="63" spans="1:10" x14ac:dyDescent="0.35">
      <c r="A6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zoomScaleNormal="100" workbookViewId="0">
      <pane ySplit="12" topLeftCell="A13" activePane="bottomLeft" state="frozen"/>
      <selection pane="bottomLeft" activeCell="F8" sqref="F8"/>
    </sheetView>
  </sheetViews>
  <sheetFormatPr defaultColWidth="8.6328125" defaultRowHeight="14.5" x14ac:dyDescent="0.35"/>
  <cols>
    <col min="1" max="1" width="22" customWidth="1"/>
    <col min="2" max="3" width="14" customWidth="1"/>
    <col min="4" max="4" width="12" customWidth="1"/>
    <col min="5" max="6" width="18" customWidth="1"/>
    <col min="7" max="8" width="13" customWidth="1"/>
    <col min="9" max="9" width="15" customWidth="1"/>
    <col min="10" max="10" width="10" customWidth="1"/>
  </cols>
  <sheetData>
    <row r="1" spans="1:10" ht="16.5" x14ac:dyDescent="0.35">
      <c r="A1" s="1" t="s">
        <v>38</v>
      </c>
    </row>
    <row r="3" spans="1:10" x14ac:dyDescent="0.35">
      <c r="A3" s="6" t="s">
        <v>16</v>
      </c>
      <c r="B3" s="7">
        <v>-4</v>
      </c>
      <c r="C3" s="2"/>
      <c r="E3" s="6" t="s">
        <v>17</v>
      </c>
      <c r="F3" s="8">
        <f>(1+SQRT(5))/2</f>
        <v>1.6180339887498949</v>
      </c>
    </row>
    <row r="4" spans="1:10" x14ac:dyDescent="0.35">
      <c r="A4" s="6" t="s">
        <v>18</v>
      </c>
      <c r="B4" s="7">
        <v>0</v>
      </c>
      <c r="C4" s="2"/>
      <c r="E4" s="6" t="s">
        <v>19</v>
      </c>
      <c r="F4" s="8">
        <f>2-F3</f>
        <v>0.3819660112501051</v>
      </c>
    </row>
    <row r="5" spans="1:10" x14ac:dyDescent="0.35">
      <c r="A5" s="6" t="s">
        <v>20</v>
      </c>
      <c r="B5" s="7">
        <v>1</v>
      </c>
      <c r="C5" s="2"/>
      <c r="E5" s="9" t="s">
        <v>21</v>
      </c>
      <c r="F5" s="10">
        <f>(B62+C62)/2</f>
        <v>-0.35546965467838576</v>
      </c>
    </row>
    <row r="6" spans="1:10" x14ac:dyDescent="0.35">
      <c r="A6" s="6" t="s">
        <v>22</v>
      </c>
      <c r="B6" s="7">
        <v>0</v>
      </c>
      <c r="C6" s="2"/>
      <c r="E6" s="9" t="s">
        <v>23</v>
      </c>
      <c r="F6" s="10">
        <f>SQRT((F5-$B$3)^2+($B$5*F5^2+$B$6*F5+$B$7-$B$4)^2)</f>
        <v>6.2898453642987064</v>
      </c>
    </row>
    <row r="7" spans="1:10" x14ac:dyDescent="0.35">
      <c r="A7" s="6" t="s">
        <v>24</v>
      </c>
      <c r="B7" s="7">
        <v>5</v>
      </c>
      <c r="C7" s="2"/>
      <c r="E7" s="9" t="s">
        <v>6</v>
      </c>
      <c r="F7" s="9">
        <f>COUNTIF(J13:J62,"no")</f>
        <v>37</v>
      </c>
    </row>
    <row r="8" spans="1:10" x14ac:dyDescent="0.35">
      <c r="A8" s="6" t="s">
        <v>25</v>
      </c>
      <c r="B8" s="7">
        <v>-2</v>
      </c>
      <c r="C8" s="2"/>
    </row>
    <row r="9" spans="1:10" x14ac:dyDescent="0.35">
      <c r="A9" s="6" t="s">
        <v>26</v>
      </c>
      <c r="B9" s="7">
        <v>2</v>
      </c>
      <c r="C9" s="2"/>
    </row>
    <row r="10" spans="1:10" x14ac:dyDescent="0.35">
      <c r="A10" s="6" t="s">
        <v>27</v>
      </c>
      <c r="B10" s="11">
        <v>9.9999999999999995E-8</v>
      </c>
      <c r="C10" s="2"/>
    </row>
    <row r="12" spans="1:10" x14ac:dyDescent="0.35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</row>
    <row r="13" spans="1:10" x14ac:dyDescent="0.35">
      <c r="A13" s="4">
        <v>0</v>
      </c>
      <c r="B13" s="12">
        <f>$B$8</f>
        <v>-2</v>
      </c>
      <c r="C13" s="12">
        <f>$B$9</f>
        <v>2</v>
      </c>
      <c r="D13" s="12">
        <f t="shared" ref="D13:D44" si="0">C13-B13</f>
        <v>4</v>
      </c>
      <c r="E13" s="12">
        <f t="shared" ref="E13:E44" si="1">B13+$F$4*(C13-B13)</f>
        <v>-0.47213595499957961</v>
      </c>
      <c r="F13" s="12">
        <f t="shared" ref="F13:F44" si="2">C13-$F$4*(C13-B13)</f>
        <v>0.47213595499957961</v>
      </c>
      <c r="G13" s="12">
        <f t="shared" ref="G13:G44" si="3">(E13-$B$3)^2+($B$5*E13^2+$B$6*E13+$B$7-$B$4)^2</f>
        <v>39.724638240282644</v>
      </c>
      <c r="H13" s="12">
        <f t="shared" ref="H13:H44" si="4">(F13-$B$3)^2+($B$5*F13^2+$B$6*F13+$B$7-$B$4)^2</f>
        <v>47.278813520275918</v>
      </c>
      <c r="I13" s="4" t="str">
        <f t="shared" ref="I13:I44" si="5">IF(J13="yes","-",IF(G13&lt;H13,"left: b = x2","right: a = x1"))</f>
        <v>left: b = x2</v>
      </c>
      <c r="J13" s="4" t="str">
        <f t="shared" ref="J13:J44" si="6">IF(D13&lt;$B$10,"yes","no")</f>
        <v>no</v>
      </c>
    </row>
    <row r="14" spans="1:10" x14ac:dyDescent="0.35">
      <c r="A14" s="4">
        <v>1</v>
      </c>
      <c r="B14" s="12">
        <f t="shared" ref="B14:B45" si="7">IF(J13="yes",B13,IF(G13&lt;H13,B13,E13))</f>
        <v>-2</v>
      </c>
      <c r="C14" s="12">
        <f t="shared" ref="C14:C45" si="8">IF(J13="yes",C13,IF(G13&lt;H13,F13,C13))</f>
        <v>0.47213595499957961</v>
      </c>
      <c r="D14" s="12">
        <f t="shared" si="0"/>
        <v>2.4721359549995796</v>
      </c>
      <c r="E14" s="12">
        <f t="shared" si="1"/>
        <v>-1.0557280900008412</v>
      </c>
      <c r="F14" s="12">
        <f t="shared" si="2"/>
        <v>-0.47213595499957917</v>
      </c>
      <c r="G14" s="12">
        <f t="shared" si="3"/>
        <v>46.056603086235086</v>
      </c>
      <c r="H14" s="12">
        <f t="shared" si="4"/>
        <v>39.724638240282651</v>
      </c>
      <c r="I14" s="4" t="str">
        <f t="shared" si="5"/>
        <v>right: a = x1</v>
      </c>
      <c r="J14" s="4" t="str">
        <f t="shared" si="6"/>
        <v>no</v>
      </c>
    </row>
    <row r="15" spans="1:10" x14ac:dyDescent="0.35">
      <c r="A15" s="4">
        <v>2</v>
      </c>
      <c r="B15" s="12">
        <f t="shared" si="7"/>
        <v>-1.0557280900008412</v>
      </c>
      <c r="C15" s="12">
        <f t="shared" si="8"/>
        <v>0.47213595499957961</v>
      </c>
      <c r="D15" s="12">
        <f t="shared" si="0"/>
        <v>1.5278640450004208</v>
      </c>
      <c r="E15" s="12">
        <f t="shared" si="1"/>
        <v>-0.47213595499957939</v>
      </c>
      <c r="F15" s="12">
        <f t="shared" si="2"/>
        <v>-0.11145618000168223</v>
      </c>
      <c r="G15" s="12">
        <f t="shared" si="3"/>
        <v>39.724638240282644</v>
      </c>
      <c r="H15" s="12">
        <f t="shared" si="4"/>
        <v>40.245152158663636</v>
      </c>
      <c r="I15" s="4" t="str">
        <f t="shared" si="5"/>
        <v>left: b = x2</v>
      </c>
      <c r="J15" s="4" t="str">
        <f t="shared" si="6"/>
        <v>no</v>
      </c>
    </row>
    <row r="16" spans="1:10" x14ac:dyDescent="0.35">
      <c r="A16" s="4">
        <v>3</v>
      </c>
      <c r="B16" s="12">
        <f t="shared" si="7"/>
        <v>-1.0557280900008412</v>
      </c>
      <c r="C16" s="12">
        <f t="shared" si="8"/>
        <v>-0.11145618000168223</v>
      </c>
      <c r="D16" s="12">
        <f t="shared" si="0"/>
        <v>0.944271909999159</v>
      </c>
      <c r="E16" s="12">
        <f t="shared" si="1"/>
        <v>-0.69504831500294428</v>
      </c>
      <c r="F16" s="12">
        <f t="shared" si="2"/>
        <v>-0.47213595499957922</v>
      </c>
      <c r="G16" s="12">
        <f t="shared" si="3"/>
        <v>40.987005277284723</v>
      </c>
      <c r="H16" s="12">
        <f t="shared" si="4"/>
        <v>39.724638240282651</v>
      </c>
      <c r="I16" s="4" t="str">
        <f t="shared" si="5"/>
        <v>right: a = x1</v>
      </c>
      <c r="J16" s="4" t="str">
        <f t="shared" si="6"/>
        <v>no</v>
      </c>
    </row>
    <row r="17" spans="1:10" x14ac:dyDescent="0.35">
      <c r="A17" s="4">
        <v>4</v>
      </c>
      <c r="B17" s="12">
        <f t="shared" si="7"/>
        <v>-0.69504831500294428</v>
      </c>
      <c r="C17" s="12">
        <f t="shared" si="8"/>
        <v>-0.11145618000168223</v>
      </c>
      <c r="D17" s="12">
        <f t="shared" si="0"/>
        <v>0.58359213500126206</v>
      </c>
      <c r="E17" s="12">
        <f t="shared" si="1"/>
        <v>-0.47213595499957939</v>
      </c>
      <c r="F17" s="12">
        <f t="shared" si="2"/>
        <v>-0.33436854000504712</v>
      </c>
      <c r="G17" s="12">
        <f t="shared" si="3"/>
        <v>39.724638240282644</v>
      </c>
      <c r="H17" s="12">
        <f t="shared" si="4"/>
        <v>39.56737696483507</v>
      </c>
      <c r="I17" s="4" t="str">
        <f t="shared" si="5"/>
        <v>right: a = x1</v>
      </c>
      <c r="J17" s="4" t="str">
        <f t="shared" si="6"/>
        <v>no</v>
      </c>
    </row>
    <row r="18" spans="1:10" x14ac:dyDescent="0.35">
      <c r="A18" s="4">
        <v>5</v>
      </c>
      <c r="B18" s="12">
        <f t="shared" si="7"/>
        <v>-0.47213595499957939</v>
      </c>
      <c r="C18" s="12">
        <f t="shared" si="8"/>
        <v>-0.11145618000168223</v>
      </c>
      <c r="D18" s="12">
        <f t="shared" si="0"/>
        <v>0.36067977499789716</v>
      </c>
      <c r="E18" s="12">
        <f t="shared" si="1"/>
        <v>-0.33436854000504723</v>
      </c>
      <c r="F18" s="12">
        <f t="shared" si="2"/>
        <v>-0.24922359499621438</v>
      </c>
      <c r="G18" s="12">
        <f t="shared" si="3"/>
        <v>39.56737696483507</v>
      </c>
      <c r="H18" s="12">
        <f t="shared" si="4"/>
        <v>39.693305593632871</v>
      </c>
      <c r="I18" s="4" t="str">
        <f t="shared" si="5"/>
        <v>left: b = x2</v>
      </c>
      <c r="J18" s="4" t="str">
        <f t="shared" si="6"/>
        <v>no</v>
      </c>
    </row>
    <row r="19" spans="1:10" x14ac:dyDescent="0.35">
      <c r="A19" s="4">
        <v>6</v>
      </c>
      <c r="B19" s="12">
        <f t="shared" si="7"/>
        <v>-0.47213595499957939</v>
      </c>
      <c r="C19" s="12">
        <f t="shared" si="8"/>
        <v>-0.24922359499621438</v>
      </c>
      <c r="D19" s="12">
        <f t="shared" si="0"/>
        <v>0.22291236000336501</v>
      </c>
      <c r="E19" s="12">
        <f t="shared" si="1"/>
        <v>-0.38699100999074659</v>
      </c>
      <c r="F19" s="12">
        <f t="shared" si="2"/>
        <v>-0.33436854000504718</v>
      </c>
      <c r="G19" s="12">
        <f t="shared" si="3"/>
        <v>39.57388304919246</v>
      </c>
      <c r="H19" s="12">
        <f t="shared" si="4"/>
        <v>39.56737696483507</v>
      </c>
      <c r="I19" s="4" t="str">
        <f t="shared" si="5"/>
        <v>right: a = x1</v>
      </c>
      <c r="J19" s="4" t="str">
        <f t="shared" si="6"/>
        <v>no</v>
      </c>
    </row>
    <row r="20" spans="1:10" x14ac:dyDescent="0.35">
      <c r="A20" s="4">
        <v>7</v>
      </c>
      <c r="B20" s="12">
        <f t="shared" si="7"/>
        <v>-0.38699100999074659</v>
      </c>
      <c r="C20" s="12">
        <f t="shared" si="8"/>
        <v>-0.24922359499621438</v>
      </c>
      <c r="D20" s="12">
        <f t="shared" si="0"/>
        <v>0.13776741499453221</v>
      </c>
      <c r="E20" s="12">
        <f t="shared" si="1"/>
        <v>-0.33436854000504723</v>
      </c>
      <c r="F20" s="12">
        <f t="shared" si="2"/>
        <v>-0.3018460649819138</v>
      </c>
      <c r="G20" s="12">
        <f t="shared" si="3"/>
        <v>39.56737696483507</v>
      </c>
      <c r="H20" s="12">
        <f t="shared" si="4"/>
        <v>39.595754219415838</v>
      </c>
      <c r="I20" s="4" t="str">
        <f t="shared" si="5"/>
        <v>left: b = x2</v>
      </c>
      <c r="J20" s="4" t="str">
        <f t="shared" si="6"/>
        <v>no</v>
      </c>
    </row>
    <row r="21" spans="1:10" x14ac:dyDescent="0.35">
      <c r="A21" s="4">
        <v>8</v>
      </c>
      <c r="B21" s="12">
        <f t="shared" si="7"/>
        <v>-0.38699100999074659</v>
      </c>
      <c r="C21" s="12">
        <f t="shared" si="8"/>
        <v>-0.3018460649819138</v>
      </c>
      <c r="D21" s="12">
        <f t="shared" si="0"/>
        <v>8.5144945008832795E-2</v>
      </c>
      <c r="E21" s="12">
        <f t="shared" si="1"/>
        <v>-0.35446853496761321</v>
      </c>
      <c r="F21" s="12">
        <f t="shared" si="2"/>
        <v>-0.33436854000504723</v>
      </c>
      <c r="G21" s="12">
        <f t="shared" si="3"/>
        <v>39.562166490761769</v>
      </c>
      <c r="H21" s="12">
        <f t="shared" si="4"/>
        <v>39.56737696483507</v>
      </c>
      <c r="I21" s="4" t="str">
        <f t="shared" si="5"/>
        <v>left: b = x2</v>
      </c>
      <c r="J21" s="4" t="str">
        <f t="shared" si="6"/>
        <v>no</v>
      </c>
    </row>
    <row r="22" spans="1:10" x14ac:dyDescent="0.35">
      <c r="A22" s="4">
        <v>9</v>
      </c>
      <c r="B22" s="12">
        <f t="shared" si="7"/>
        <v>-0.38699100999074659</v>
      </c>
      <c r="C22" s="12">
        <f t="shared" si="8"/>
        <v>-0.33436854000504723</v>
      </c>
      <c r="D22" s="12">
        <f t="shared" si="0"/>
        <v>5.2622469985699361E-2</v>
      </c>
      <c r="E22" s="12">
        <f t="shared" si="1"/>
        <v>-0.36689101502818061</v>
      </c>
      <c r="F22" s="12">
        <f t="shared" si="2"/>
        <v>-0.35446853496761321</v>
      </c>
      <c r="G22" s="12">
        <f t="shared" si="3"/>
        <v>39.563690653200091</v>
      </c>
      <c r="H22" s="12">
        <f t="shared" si="4"/>
        <v>39.562166490761769</v>
      </c>
      <c r="I22" s="4" t="str">
        <f t="shared" si="5"/>
        <v>right: a = x1</v>
      </c>
      <c r="J22" s="4" t="str">
        <f t="shared" si="6"/>
        <v>no</v>
      </c>
    </row>
    <row r="23" spans="1:10" x14ac:dyDescent="0.35">
      <c r="A23" s="4">
        <v>10</v>
      </c>
      <c r="B23" s="12">
        <f t="shared" si="7"/>
        <v>-0.36689101502818061</v>
      </c>
      <c r="C23" s="12">
        <f t="shared" si="8"/>
        <v>-0.33436854000504723</v>
      </c>
      <c r="D23" s="12">
        <f t="shared" si="0"/>
        <v>3.2522475023133379E-2</v>
      </c>
      <c r="E23" s="12">
        <f t="shared" si="1"/>
        <v>-0.35446853496761321</v>
      </c>
      <c r="F23" s="12">
        <f t="shared" si="2"/>
        <v>-0.34679102006561469</v>
      </c>
      <c r="G23" s="12">
        <f t="shared" si="3"/>
        <v>39.562166490761769</v>
      </c>
      <c r="H23" s="12">
        <f t="shared" si="4"/>
        <v>39.563039399540408</v>
      </c>
      <c r="I23" s="4" t="str">
        <f t="shared" si="5"/>
        <v>left: b = x2</v>
      </c>
      <c r="J23" s="4" t="str">
        <f t="shared" si="6"/>
        <v>no</v>
      </c>
    </row>
    <row r="24" spans="1:10" x14ac:dyDescent="0.35">
      <c r="A24" s="4">
        <v>11</v>
      </c>
      <c r="B24" s="12">
        <f t="shared" si="7"/>
        <v>-0.36689101502818061</v>
      </c>
      <c r="C24" s="12">
        <f t="shared" si="8"/>
        <v>-0.34679102006561469</v>
      </c>
      <c r="D24" s="12">
        <f t="shared" si="0"/>
        <v>2.0099994962565926E-2</v>
      </c>
      <c r="E24" s="12">
        <f t="shared" si="1"/>
        <v>-0.35921350012618208</v>
      </c>
      <c r="F24" s="12">
        <f t="shared" si="2"/>
        <v>-0.35446853496761321</v>
      </c>
      <c r="G24" s="12">
        <f t="shared" si="3"/>
        <v>39.562319584949222</v>
      </c>
      <c r="H24" s="12">
        <f t="shared" si="4"/>
        <v>39.562166490761769</v>
      </c>
      <c r="I24" s="4" t="str">
        <f t="shared" si="5"/>
        <v>right: a = x1</v>
      </c>
      <c r="J24" s="4" t="str">
        <f t="shared" si="6"/>
        <v>no</v>
      </c>
    </row>
    <row r="25" spans="1:10" x14ac:dyDescent="0.35">
      <c r="A25" s="4">
        <v>12</v>
      </c>
      <c r="B25" s="12">
        <f t="shared" si="7"/>
        <v>-0.35921350012618208</v>
      </c>
      <c r="C25" s="12">
        <f t="shared" si="8"/>
        <v>-0.34679102006561469</v>
      </c>
      <c r="D25" s="12">
        <f t="shared" si="0"/>
        <v>1.2422480060567398E-2</v>
      </c>
      <c r="E25" s="12">
        <f t="shared" si="1"/>
        <v>-0.35446853496761321</v>
      </c>
      <c r="F25" s="12">
        <f t="shared" si="2"/>
        <v>-0.35153598522418356</v>
      </c>
      <c r="G25" s="12">
        <f t="shared" si="3"/>
        <v>39.562166490761769</v>
      </c>
      <c r="H25" s="12">
        <f t="shared" si="4"/>
        <v>39.562336566783436</v>
      </c>
      <c r="I25" s="4" t="str">
        <f t="shared" si="5"/>
        <v>left: b = x2</v>
      </c>
      <c r="J25" s="4" t="str">
        <f t="shared" si="6"/>
        <v>no</v>
      </c>
    </row>
    <row r="26" spans="1:10" x14ac:dyDescent="0.35">
      <c r="A26" s="4">
        <v>13</v>
      </c>
      <c r="B26" s="12">
        <f t="shared" si="7"/>
        <v>-0.35921350012618208</v>
      </c>
      <c r="C26" s="12">
        <f t="shared" si="8"/>
        <v>-0.35153598522418356</v>
      </c>
      <c r="D26" s="12">
        <f t="shared" si="0"/>
        <v>7.6775149019985278E-3</v>
      </c>
      <c r="E26" s="12">
        <f t="shared" si="1"/>
        <v>-0.35628095038275248</v>
      </c>
      <c r="F26" s="12">
        <f t="shared" si="2"/>
        <v>-0.35446853496761316</v>
      </c>
      <c r="G26" s="12">
        <f t="shared" si="3"/>
        <v>39.562162446045043</v>
      </c>
      <c r="H26" s="12">
        <f t="shared" si="4"/>
        <v>39.562166490761769</v>
      </c>
      <c r="I26" s="4" t="str">
        <f t="shared" si="5"/>
        <v>left: b = x2</v>
      </c>
      <c r="J26" s="4" t="str">
        <f t="shared" si="6"/>
        <v>no</v>
      </c>
    </row>
    <row r="27" spans="1:10" x14ac:dyDescent="0.35">
      <c r="A27" s="4">
        <v>14</v>
      </c>
      <c r="B27" s="12">
        <f t="shared" si="7"/>
        <v>-0.35921350012618208</v>
      </c>
      <c r="C27" s="12">
        <f t="shared" si="8"/>
        <v>-0.35446853496761316</v>
      </c>
      <c r="D27" s="12">
        <f t="shared" si="0"/>
        <v>4.7449651585689256E-3</v>
      </c>
      <c r="E27" s="12">
        <f t="shared" si="1"/>
        <v>-0.35740108471104282</v>
      </c>
      <c r="F27" s="12">
        <f t="shared" si="2"/>
        <v>-0.35628095038275243</v>
      </c>
      <c r="G27" s="12">
        <f t="shared" si="3"/>
        <v>39.562198578182411</v>
      </c>
      <c r="H27" s="12">
        <f t="shared" si="4"/>
        <v>39.562162446045043</v>
      </c>
      <c r="I27" s="4" t="str">
        <f t="shared" si="5"/>
        <v>right: a = x1</v>
      </c>
      <c r="J27" s="4" t="str">
        <f t="shared" si="6"/>
        <v>no</v>
      </c>
    </row>
    <row r="28" spans="1:10" x14ac:dyDescent="0.35">
      <c r="A28" s="4">
        <v>15</v>
      </c>
      <c r="B28" s="12">
        <f t="shared" si="7"/>
        <v>-0.35740108471104282</v>
      </c>
      <c r="C28" s="12">
        <f t="shared" si="8"/>
        <v>-0.35446853496761316</v>
      </c>
      <c r="D28" s="12">
        <f t="shared" si="0"/>
        <v>2.9325497434296577E-3</v>
      </c>
      <c r="E28" s="12">
        <f t="shared" si="1"/>
        <v>-0.35628095038275248</v>
      </c>
      <c r="F28" s="12">
        <f t="shared" si="2"/>
        <v>-0.35558866929590349</v>
      </c>
      <c r="G28" s="12">
        <f t="shared" si="3"/>
        <v>39.562162446045043</v>
      </c>
      <c r="H28" s="12">
        <f t="shared" si="4"/>
        <v>39.562154873233517</v>
      </c>
      <c r="I28" s="4" t="str">
        <f t="shared" si="5"/>
        <v>right: a = x1</v>
      </c>
      <c r="J28" s="4" t="str">
        <f t="shared" si="6"/>
        <v>no</v>
      </c>
    </row>
    <row r="29" spans="1:10" x14ac:dyDescent="0.35">
      <c r="A29" s="4">
        <v>16</v>
      </c>
      <c r="B29" s="12">
        <f t="shared" si="7"/>
        <v>-0.35628095038275248</v>
      </c>
      <c r="C29" s="12">
        <f t="shared" si="8"/>
        <v>-0.35446853496761316</v>
      </c>
      <c r="D29" s="12">
        <f t="shared" si="0"/>
        <v>1.8124154151393235E-3</v>
      </c>
      <c r="E29" s="12">
        <f t="shared" si="1"/>
        <v>-0.35558866929590349</v>
      </c>
      <c r="F29" s="12">
        <f t="shared" si="2"/>
        <v>-0.35516081605446215</v>
      </c>
      <c r="G29" s="12">
        <f t="shared" si="3"/>
        <v>39.562154873233517</v>
      </c>
      <c r="H29" s="12">
        <f t="shared" si="4"/>
        <v>39.562155828533236</v>
      </c>
      <c r="I29" s="4" t="str">
        <f t="shared" si="5"/>
        <v>left: b = x2</v>
      </c>
      <c r="J29" s="4" t="str">
        <f t="shared" si="6"/>
        <v>no</v>
      </c>
    </row>
    <row r="30" spans="1:10" x14ac:dyDescent="0.35">
      <c r="A30" s="4">
        <v>17</v>
      </c>
      <c r="B30" s="12">
        <f t="shared" si="7"/>
        <v>-0.35628095038275248</v>
      </c>
      <c r="C30" s="12">
        <f t="shared" si="8"/>
        <v>-0.35516081605446215</v>
      </c>
      <c r="D30" s="12">
        <f t="shared" si="0"/>
        <v>1.1201343282903342E-3</v>
      </c>
      <c r="E30" s="12">
        <f t="shared" si="1"/>
        <v>-0.35585309714131108</v>
      </c>
      <c r="F30" s="12">
        <f t="shared" si="2"/>
        <v>-0.35558866929590355</v>
      </c>
      <c r="G30" s="12">
        <f t="shared" si="3"/>
        <v>39.562156435304694</v>
      </c>
      <c r="H30" s="12">
        <f t="shared" si="4"/>
        <v>39.562154873233517</v>
      </c>
      <c r="I30" s="4" t="str">
        <f t="shared" si="5"/>
        <v>right: a = x1</v>
      </c>
      <c r="J30" s="4" t="str">
        <f t="shared" si="6"/>
        <v>no</v>
      </c>
    </row>
    <row r="31" spans="1:10" x14ac:dyDescent="0.35">
      <c r="A31" s="4">
        <v>18</v>
      </c>
      <c r="B31" s="12">
        <f t="shared" si="7"/>
        <v>-0.35585309714131108</v>
      </c>
      <c r="C31" s="12">
        <f t="shared" si="8"/>
        <v>-0.35516081605446215</v>
      </c>
      <c r="D31" s="12">
        <f t="shared" si="0"/>
        <v>6.9228108684893375E-4</v>
      </c>
      <c r="E31" s="12">
        <f t="shared" si="1"/>
        <v>-0.35558866929590349</v>
      </c>
      <c r="F31" s="12">
        <f t="shared" si="2"/>
        <v>-0.35542524389986974</v>
      </c>
      <c r="G31" s="12">
        <f t="shared" si="3"/>
        <v>39.562154873233517</v>
      </c>
      <c r="H31" s="12">
        <f t="shared" si="4"/>
        <v>39.562154730020495</v>
      </c>
      <c r="I31" s="4" t="str">
        <f t="shared" si="5"/>
        <v>right: a = x1</v>
      </c>
      <c r="J31" s="4" t="str">
        <f t="shared" si="6"/>
        <v>no</v>
      </c>
    </row>
    <row r="32" spans="1:10" x14ac:dyDescent="0.35">
      <c r="A32" s="4">
        <v>19</v>
      </c>
      <c r="B32" s="12">
        <f t="shared" si="7"/>
        <v>-0.35558866929590349</v>
      </c>
      <c r="C32" s="12">
        <f t="shared" si="8"/>
        <v>-0.35516081605446215</v>
      </c>
      <c r="D32" s="12">
        <f t="shared" si="0"/>
        <v>4.2785324144134496E-4</v>
      </c>
      <c r="E32" s="12">
        <f t="shared" si="1"/>
        <v>-0.35542524389986974</v>
      </c>
      <c r="F32" s="12">
        <f t="shared" si="2"/>
        <v>-0.3553242414504959</v>
      </c>
      <c r="G32" s="12">
        <f t="shared" si="3"/>
        <v>39.562154730020495</v>
      </c>
      <c r="H32" s="12">
        <f t="shared" si="4"/>
        <v>39.562154955542368</v>
      </c>
      <c r="I32" s="4" t="str">
        <f t="shared" si="5"/>
        <v>left: b = x2</v>
      </c>
      <c r="J32" s="4" t="str">
        <f t="shared" si="6"/>
        <v>no</v>
      </c>
    </row>
    <row r="33" spans="1:10" x14ac:dyDescent="0.35">
      <c r="A33" s="4">
        <v>20</v>
      </c>
      <c r="B33" s="12">
        <f t="shared" si="7"/>
        <v>-0.35558866929590349</v>
      </c>
      <c r="C33" s="12">
        <f t="shared" si="8"/>
        <v>-0.3553242414504959</v>
      </c>
      <c r="D33" s="12">
        <f t="shared" si="0"/>
        <v>2.6442784540758879E-4</v>
      </c>
      <c r="E33" s="12">
        <f t="shared" si="1"/>
        <v>-0.35548766684652972</v>
      </c>
      <c r="F33" s="12">
        <f t="shared" si="2"/>
        <v>-0.35542524389986968</v>
      </c>
      <c r="G33" s="12">
        <f t="shared" si="3"/>
        <v>39.562154710588544</v>
      </c>
      <c r="H33" s="12">
        <f t="shared" si="4"/>
        <v>39.562154730020495</v>
      </c>
      <c r="I33" s="4" t="str">
        <f t="shared" si="5"/>
        <v>left: b = x2</v>
      </c>
      <c r="J33" s="4" t="str">
        <f t="shared" si="6"/>
        <v>no</v>
      </c>
    </row>
    <row r="34" spans="1:10" x14ac:dyDescent="0.35">
      <c r="A34" s="4">
        <v>21</v>
      </c>
      <c r="B34" s="12">
        <f t="shared" si="7"/>
        <v>-0.35558866929590349</v>
      </c>
      <c r="C34" s="12">
        <f t="shared" si="8"/>
        <v>-0.35542524389986968</v>
      </c>
      <c r="D34" s="12">
        <f t="shared" si="0"/>
        <v>1.6342539603381168E-4</v>
      </c>
      <c r="E34" s="12">
        <f t="shared" si="1"/>
        <v>-0.35552624634924351</v>
      </c>
      <c r="F34" s="12">
        <f t="shared" si="2"/>
        <v>-0.35548766684652966</v>
      </c>
      <c r="G34" s="12">
        <f t="shared" si="3"/>
        <v>39.56215474439621</v>
      </c>
      <c r="H34" s="12">
        <f t="shared" si="4"/>
        <v>39.562154710588544</v>
      </c>
      <c r="I34" s="4" t="str">
        <f t="shared" si="5"/>
        <v>right: a = x1</v>
      </c>
      <c r="J34" s="4" t="str">
        <f t="shared" si="6"/>
        <v>no</v>
      </c>
    </row>
    <row r="35" spans="1:10" x14ac:dyDescent="0.35">
      <c r="A35" s="4">
        <v>22</v>
      </c>
      <c r="B35" s="12">
        <f t="shared" si="7"/>
        <v>-0.35552624634924351</v>
      </c>
      <c r="C35" s="12">
        <f t="shared" si="8"/>
        <v>-0.35542524389986968</v>
      </c>
      <c r="D35" s="12">
        <f t="shared" si="0"/>
        <v>1.0100244937383263E-4</v>
      </c>
      <c r="E35" s="12">
        <f t="shared" si="1"/>
        <v>-0.35548766684652972</v>
      </c>
      <c r="F35" s="12">
        <f t="shared" si="2"/>
        <v>-0.35546382340258348</v>
      </c>
      <c r="G35" s="12">
        <f t="shared" si="3"/>
        <v>39.562154710588544</v>
      </c>
      <c r="H35" s="12">
        <f t="shared" si="4"/>
        <v>39.562154707194985</v>
      </c>
      <c r="I35" s="4" t="str">
        <f t="shared" si="5"/>
        <v>right: a = x1</v>
      </c>
      <c r="J35" s="4" t="str">
        <f t="shared" si="6"/>
        <v>no</v>
      </c>
    </row>
    <row r="36" spans="1:10" x14ac:dyDescent="0.35">
      <c r="A36" s="4">
        <v>23</v>
      </c>
      <c r="B36" s="12">
        <f t="shared" si="7"/>
        <v>-0.35548766684652972</v>
      </c>
      <c r="C36" s="12">
        <f t="shared" si="8"/>
        <v>-0.35542524389986968</v>
      </c>
      <c r="D36" s="12">
        <f t="shared" si="0"/>
        <v>6.2422946660034562E-5</v>
      </c>
      <c r="E36" s="12">
        <f t="shared" si="1"/>
        <v>-0.35546382340258348</v>
      </c>
      <c r="F36" s="12">
        <f t="shared" si="2"/>
        <v>-0.35544908734381592</v>
      </c>
      <c r="G36" s="12">
        <f t="shared" si="3"/>
        <v>39.562154707194985</v>
      </c>
      <c r="H36" s="12">
        <f t="shared" si="4"/>
        <v>39.562154711782256</v>
      </c>
      <c r="I36" s="4" t="str">
        <f t="shared" si="5"/>
        <v>left: b = x2</v>
      </c>
      <c r="J36" s="4" t="str">
        <f t="shared" si="6"/>
        <v>no</v>
      </c>
    </row>
    <row r="37" spans="1:10" x14ac:dyDescent="0.35">
      <c r="A37" s="4">
        <v>24</v>
      </c>
      <c r="B37" s="12">
        <f t="shared" si="7"/>
        <v>-0.35548766684652972</v>
      </c>
      <c r="C37" s="12">
        <f t="shared" si="8"/>
        <v>-0.35544908734381592</v>
      </c>
      <c r="D37" s="12">
        <f t="shared" si="0"/>
        <v>3.8579502713798064E-5</v>
      </c>
      <c r="E37" s="12">
        <f t="shared" si="1"/>
        <v>-0.3554729307877621</v>
      </c>
      <c r="F37" s="12">
        <f t="shared" si="2"/>
        <v>-0.35546382340258353</v>
      </c>
      <c r="G37" s="12">
        <f t="shared" si="3"/>
        <v>39.562154706913176</v>
      </c>
      <c r="H37" s="12">
        <f t="shared" si="4"/>
        <v>39.562154707194978</v>
      </c>
      <c r="I37" s="4" t="str">
        <f t="shared" si="5"/>
        <v>left: b = x2</v>
      </c>
      <c r="J37" s="4" t="str">
        <f t="shared" si="6"/>
        <v>no</v>
      </c>
    </row>
    <row r="38" spans="1:10" x14ac:dyDescent="0.35">
      <c r="A38" s="4">
        <v>25</v>
      </c>
      <c r="B38" s="12">
        <f t="shared" si="7"/>
        <v>-0.35548766684652972</v>
      </c>
      <c r="C38" s="12">
        <f t="shared" si="8"/>
        <v>-0.35546382340258353</v>
      </c>
      <c r="D38" s="12">
        <f t="shared" si="0"/>
        <v>2.3843443946180987E-5</v>
      </c>
      <c r="E38" s="12">
        <f t="shared" si="1"/>
        <v>-0.35547855946135115</v>
      </c>
      <c r="F38" s="12">
        <f t="shared" si="2"/>
        <v>-0.3554729307877621</v>
      </c>
      <c r="G38" s="12">
        <f t="shared" si="3"/>
        <v>39.562154707714285</v>
      </c>
      <c r="H38" s="12">
        <f t="shared" si="4"/>
        <v>39.562154706913176</v>
      </c>
      <c r="I38" s="4" t="str">
        <f t="shared" si="5"/>
        <v>right: a = x1</v>
      </c>
      <c r="J38" s="4" t="str">
        <f t="shared" si="6"/>
        <v>no</v>
      </c>
    </row>
    <row r="39" spans="1:10" x14ac:dyDescent="0.35">
      <c r="A39" s="4">
        <v>26</v>
      </c>
      <c r="B39" s="12">
        <f t="shared" si="7"/>
        <v>-0.35547855946135115</v>
      </c>
      <c r="C39" s="12">
        <f t="shared" si="8"/>
        <v>-0.35546382340258353</v>
      </c>
      <c r="D39" s="12">
        <f t="shared" si="0"/>
        <v>1.4736058767617077E-5</v>
      </c>
      <c r="E39" s="12">
        <f t="shared" si="1"/>
        <v>-0.35547293078776215</v>
      </c>
      <c r="F39" s="12">
        <f t="shared" si="2"/>
        <v>-0.35546945207617253</v>
      </c>
      <c r="G39" s="12">
        <f t="shared" si="3"/>
        <v>39.562154706913176</v>
      </c>
      <c r="H39" s="12">
        <f t="shared" si="4"/>
        <v>39.562154706790587</v>
      </c>
      <c r="I39" s="4" t="str">
        <f t="shared" si="5"/>
        <v>right: a = x1</v>
      </c>
      <c r="J39" s="4" t="str">
        <f t="shared" si="6"/>
        <v>no</v>
      </c>
    </row>
    <row r="40" spans="1:10" x14ac:dyDescent="0.35">
      <c r="A40" s="4">
        <v>27</v>
      </c>
      <c r="B40" s="12">
        <f t="shared" si="7"/>
        <v>-0.35547293078776215</v>
      </c>
      <c r="C40" s="12">
        <f t="shared" si="8"/>
        <v>-0.35546382340258353</v>
      </c>
      <c r="D40" s="12">
        <f t="shared" si="0"/>
        <v>9.1073851786194204E-6</v>
      </c>
      <c r="E40" s="12">
        <f t="shared" si="1"/>
        <v>-0.35546945207617253</v>
      </c>
      <c r="F40" s="12">
        <f t="shared" si="2"/>
        <v>-0.35546730211417316</v>
      </c>
      <c r="G40" s="12">
        <f t="shared" si="3"/>
        <v>39.562154706790587</v>
      </c>
      <c r="H40" s="12">
        <f t="shared" si="4"/>
        <v>39.562154706857108</v>
      </c>
      <c r="I40" s="4" t="str">
        <f t="shared" si="5"/>
        <v>left: b = x2</v>
      </c>
      <c r="J40" s="4" t="str">
        <f t="shared" si="6"/>
        <v>no</v>
      </c>
    </row>
    <row r="41" spans="1:10" x14ac:dyDescent="0.35">
      <c r="A41" s="4">
        <v>28</v>
      </c>
      <c r="B41" s="12">
        <f t="shared" si="7"/>
        <v>-0.35547293078776215</v>
      </c>
      <c r="C41" s="12">
        <f t="shared" si="8"/>
        <v>-0.35546730211417316</v>
      </c>
      <c r="D41" s="12">
        <f t="shared" si="0"/>
        <v>5.6286735889976569E-6</v>
      </c>
      <c r="E41" s="12">
        <f t="shared" si="1"/>
        <v>-0.35547078082576272</v>
      </c>
      <c r="F41" s="12">
        <f t="shared" si="2"/>
        <v>-0.35546945207617259</v>
      </c>
      <c r="G41" s="12">
        <f t="shared" si="3"/>
        <v>39.562154706803824</v>
      </c>
      <c r="H41" s="12">
        <f t="shared" si="4"/>
        <v>39.562154706790579</v>
      </c>
      <c r="I41" s="4" t="str">
        <f t="shared" si="5"/>
        <v>right: a = x1</v>
      </c>
      <c r="J41" s="4" t="str">
        <f t="shared" si="6"/>
        <v>no</v>
      </c>
    </row>
    <row r="42" spans="1:10" x14ac:dyDescent="0.35">
      <c r="A42" s="4">
        <v>29</v>
      </c>
      <c r="B42" s="12">
        <f t="shared" si="7"/>
        <v>-0.35547078082576272</v>
      </c>
      <c r="C42" s="12">
        <f t="shared" si="8"/>
        <v>-0.35546730211417316</v>
      </c>
      <c r="D42" s="12">
        <f t="shared" si="0"/>
        <v>3.4787115895662524E-6</v>
      </c>
      <c r="E42" s="12">
        <f t="shared" si="1"/>
        <v>-0.35546945207617259</v>
      </c>
      <c r="F42" s="12">
        <f t="shared" si="2"/>
        <v>-0.35546863086376329</v>
      </c>
      <c r="G42" s="12">
        <f t="shared" si="3"/>
        <v>39.562154706790579</v>
      </c>
      <c r="H42" s="12">
        <f t="shared" si="4"/>
        <v>39.56215470680317</v>
      </c>
      <c r="I42" s="4" t="str">
        <f t="shared" si="5"/>
        <v>left: b = x2</v>
      </c>
      <c r="J42" s="4" t="str">
        <f t="shared" si="6"/>
        <v>no</v>
      </c>
    </row>
    <row r="43" spans="1:10" x14ac:dyDescent="0.35">
      <c r="A43" s="4">
        <v>30</v>
      </c>
      <c r="B43" s="12">
        <f t="shared" si="7"/>
        <v>-0.35547078082576272</v>
      </c>
      <c r="C43" s="12">
        <f t="shared" si="8"/>
        <v>-0.35546863086376329</v>
      </c>
      <c r="D43" s="12">
        <f t="shared" si="0"/>
        <v>2.1499619994314045E-6</v>
      </c>
      <c r="E43" s="12">
        <f t="shared" si="1"/>
        <v>-0.35546995961335348</v>
      </c>
      <c r="F43" s="12">
        <f t="shared" si="2"/>
        <v>-0.35546945207617253</v>
      </c>
      <c r="G43" s="12">
        <f t="shared" si="3"/>
        <v>39.562154706790736</v>
      </c>
      <c r="H43" s="12">
        <f t="shared" si="4"/>
        <v>39.562154706790587</v>
      </c>
      <c r="I43" s="4" t="str">
        <f t="shared" si="5"/>
        <v>right: a = x1</v>
      </c>
      <c r="J43" s="4" t="str">
        <f t="shared" si="6"/>
        <v>no</v>
      </c>
    </row>
    <row r="44" spans="1:10" x14ac:dyDescent="0.35">
      <c r="A44" s="4">
        <v>31</v>
      </c>
      <c r="B44" s="12">
        <f t="shared" si="7"/>
        <v>-0.35546995961335348</v>
      </c>
      <c r="C44" s="12">
        <f t="shared" si="8"/>
        <v>-0.35546863086376329</v>
      </c>
      <c r="D44" s="12">
        <f t="shared" si="0"/>
        <v>1.328749590190359E-6</v>
      </c>
      <c r="E44" s="12">
        <f t="shared" si="1"/>
        <v>-0.35546945207617259</v>
      </c>
      <c r="F44" s="12">
        <f t="shared" si="2"/>
        <v>-0.35546913840094418</v>
      </c>
      <c r="G44" s="12">
        <f t="shared" si="3"/>
        <v>39.562154706790579</v>
      </c>
      <c r="H44" s="12">
        <f t="shared" si="4"/>
        <v>39.562154706793521</v>
      </c>
      <c r="I44" s="4" t="str">
        <f t="shared" si="5"/>
        <v>left: b = x2</v>
      </c>
      <c r="J44" s="4" t="str">
        <f t="shared" si="6"/>
        <v>no</v>
      </c>
    </row>
    <row r="45" spans="1:10" x14ac:dyDescent="0.35">
      <c r="A45" s="4">
        <v>32</v>
      </c>
      <c r="B45" s="12">
        <f t="shared" si="7"/>
        <v>-0.35546995961335348</v>
      </c>
      <c r="C45" s="12">
        <f t="shared" si="8"/>
        <v>-0.35546913840094418</v>
      </c>
      <c r="D45" s="12">
        <f t="shared" ref="D45:D62" si="9">C45-B45</f>
        <v>8.212124092965567E-7</v>
      </c>
      <c r="E45" s="12">
        <f t="shared" ref="E45:E62" si="10">B45+$F$4*(C45-B45)</f>
        <v>-0.35546964593812513</v>
      </c>
      <c r="F45" s="12">
        <f t="shared" ref="F45:F62" si="11">C45-$F$4*(C45-B45)</f>
        <v>-0.35546945207617253</v>
      </c>
      <c r="G45" s="12">
        <f t="shared" ref="G45:G62" si="12">(E45-$B$3)^2+($B$5*E45^2+$B$6*E45+$B$7-$B$4)^2</f>
        <v>39.562154706789926</v>
      </c>
      <c r="H45" s="12">
        <f t="shared" ref="H45:H62" si="13">(F45-$B$3)^2+($B$5*F45^2+$B$6*F45+$B$7-$B$4)^2</f>
        <v>39.562154706790587</v>
      </c>
      <c r="I45" s="4" t="str">
        <f t="shared" ref="I45:I62" si="14">IF(J45="yes","-",IF(G45&lt;H45,"left: b = x2","right: a = x1"))</f>
        <v>left: b = x2</v>
      </c>
      <c r="J45" s="4" t="str">
        <f t="shared" ref="J45:J62" si="15">IF(D45&lt;$B$10,"yes","no")</f>
        <v>no</v>
      </c>
    </row>
    <row r="46" spans="1:10" x14ac:dyDescent="0.35">
      <c r="A46" s="4">
        <v>33</v>
      </c>
      <c r="B46" s="12">
        <f t="shared" ref="B46:B62" si="16">IF(J45="yes",B45,IF(G45&lt;H45,B45,E45))</f>
        <v>-0.35546995961335348</v>
      </c>
      <c r="C46" s="12">
        <f t="shared" ref="C46:C62" si="17">IF(J45="yes",C45,IF(G45&lt;H45,F45,C45))</f>
        <v>-0.35546945207617253</v>
      </c>
      <c r="D46" s="12">
        <f t="shared" si="9"/>
        <v>5.0753718094931344E-7</v>
      </c>
      <c r="E46" s="12">
        <f t="shared" si="10"/>
        <v>-0.35546976575140093</v>
      </c>
      <c r="F46" s="12">
        <f t="shared" si="11"/>
        <v>-0.35546964593812508</v>
      </c>
      <c r="G46" s="12">
        <f t="shared" si="12"/>
        <v>39.562154706789968</v>
      </c>
      <c r="H46" s="12">
        <f t="shared" si="13"/>
        <v>39.562154706789926</v>
      </c>
      <c r="I46" s="4" t="str">
        <f t="shared" si="14"/>
        <v>right: a = x1</v>
      </c>
      <c r="J46" s="4" t="str">
        <f t="shared" si="15"/>
        <v>no</v>
      </c>
    </row>
    <row r="47" spans="1:10" x14ac:dyDescent="0.35">
      <c r="A47" s="4">
        <v>34</v>
      </c>
      <c r="B47" s="12">
        <f t="shared" si="16"/>
        <v>-0.35546976575140093</v>
      </c>
      <c r="C47" s="12">
        <f t="shared" si="17"/>
        <v>-0.35546945207617253</v>
      </c>
      <c r="D47" s="12">
        <f t="shared" si="9"/>
        <v>3.1367522840275441E-7</v>
      </c>
      <c r="E47" s="12">
        <f t="shared" si="10"/>
        <v>-0.35546964593812513</v>
      </c>
      <c r="F47" s="12">
        <f t="shared" si="11"/>
        <v>-0.35546957188944833</v>
      </c>
      <c r="G47" s="12">
        <f t="shared" si="12"/>
        <v>39.562154706789926</v>
      </c>
      <c r="H47" s="12">
        <f t="shared" si="13"/>
        <v>39.562154706790068</v>
      </c>
      <c r="I47" s="4" t="str">
        <f t="shared" si="14"/>
        <v>left: b = x2</v>
      </c>
      <c r="J47" s="4" t="str">
        <f t="shared" si="15"/>
        <v>no</v>
      </c>
    </row>
    <row r="48" spans="1:10" x14ac:dyDescent="0.35">
      <c r="A48" s="4">
        <v>35</v>
      </c>
      <c r="B48" s="12">
        <f t="shared" si="16"/>
        <v>-0.35546976575140093</v>
      </c>
      <c r="C48" s="12">
        <f t="shared" si="17"/>
        <v>-0.35546957188944833</v>
      </c>
      <c r="D48" s="12">
        <f t="shared" si="9"/>
        <v>1.9386195260207018E-7</v>
      </c>
      <c r="E48" s="12">
        <f t="shared" si="10"/>
        <v>-0.35546969170272419</v>
      </c>
      <c r="F48" s="12">
        <f t="shared" si="11"/>
        <v>-0.35546964593812508</v>
      </c>
      <c r="G48" s="12">
        <f t="shared" si="12"/>
        <v>39.562154706789904</v>
      </c>
      <c r="H48" s="12">
        <f t="shared" si="13"/>
        <v>39.562154706789926</v>
      </c>
      <c r="I48" s="4" t="str">
        <f t="shared" si="14"/>
        <v>right: a = x1</v>
      </c>
      <c r="J48" s="4" t="str">
        <f t="shared" si="15"/>
        <v>no</v>
      </c>
    </row>
    <row r="49" spans="1:10" x14ac:dyDescent="0.35">
      <c r="A49" s="4">
        <v>36</v>
      </c>
      <c r="B49" s="12">
        <f t="shared" si="16"/>
        <v>-0.35546969170272419</v>
      </c>
      <c r="C49" s="12">
        <f t="shared" si="17"/>
        <v>-0.35546957188944833</v>
      </c>
      <c r="D49" s="12">
        <f t="shared" si="9"/>
        <v>1.1981327585619539E-7</v>
      </c>
      <c r="E49" s="12">
        <f t="shared" si="10"/>
        <v>-0.35546964593812513</v>
      </c>
      <c r="F49" s="12">
        <f t="shared" si="11"/>
        <v>-0.35546961765404739</v>
      </c>
      <c r="G49" s="12">
        <f t="shared" si="12"/>
        <v>39.562154706789926</v>
      </c>
      <c r="H49" s="12">
        <f t="shared" si="13"/>
        <v>39.562154706789968</v>
      </c>
      <c r="I49" s="4" t="str">
        <f t="shared" si="14"/>
        <v>left: b = x2</v>
      </c>
      <c r="J49" s="4" t="str">
        <f t="shared" si="15"/>
        <v>no</v>
      </c>
    </row>
    <row r="50" spans="1:10" x14ac:dyDescent="0.35">
      <c r="A50" s="4">
        <v>37</v>
      </c>
      <c r="B50" s="12">
        <f t="shared" si="16"/>
        <v>-0.35546969170272419</v>
      </c>
      <c r="C50" s="12">
        <f t="shared" si="17"/>
        <v>-0.35546961765404739</v>
      </c>
      <c r="D50" s="12">
        <f t="shared" si="9"/>
        <v>7.4048676801385938E-8</v>
      </c>
      <c r="E50" s="12">
        <f t="shared" si="10"/>
        <v>-0.3554696634186465</v>
      </c>
      <c r="F50" s="12">
        <f t="shared" si="11"/>
        <v>-0.35546964593812508</v>
      </c>
      <c r="G50" s="12">
        <f t="shared" si="12"/>
        <v>39.562154706789912</v>
      </c>
      <c r="H50" s="12">
        <f t="shared" si="13"/>
        <v>39.562154706789926</v>
      </c>
      <c r="I50" s="4" t="str">
        <f t="shared" si="14"/>
        <v>-</v>
      </c>
      <c r="J50" s="4" t="str">
        <f t="shared" si="15"/>
        <v>yes</v>
      </c>
    </row>
    <row r="51" spans="1:10" x14ac:dyDescent="0.35">
      <c r="A51" s="4">
        <v>38</v>
      </c>
      <c r="B51" s="12">
        <f t="shared" si="16"/>
        <v>-0.35546969170272419</v>
      </c>
      <c r="C51" s="12">
        <f t="shared" si="17"/>
        <v>-0.35546961765404739</v>
      </c>
      <c r="D51" s="12">
        <f t="shared" si="9"/>
        <v>7.4048676801385938E-8</v>
      </c>
      <c r="E51" s="12">
        <f t="shared" si="10"/>
        <v>-0.3554696634186465</v>
      </c>
      <c r="F51" s="12">
        <f t="shared" si="11"/>
        <v>-0.35546964593812508</v>
      </c>
      <c r="G51" s="12">
        <f t="shared" si="12"/>
        <v>39.562154706789912</v>
      </c>
      <c r="H51" s="12">
        <f t="shared" si="13"/>
        <v>39.562154706789926</v>
      </c>
      <c r="I51" s="4" t="str">
        <f t="shared" si="14"/>
        <v>-</v>
      </c>
      <c r="J51" s="4" t="str">
        <f t="shared" si="15"/>
        <v>yes</v>
      </c>
    </row>
    <row r="52" spans="1:10" x14ac:dyDescent="0.35">
      <c r="A52" s="4">
        <v>39</v>
      </c>
      <c r="B52" s="12">
        <f t="shared" si="16"/>
        <v>-0.35546969170272419</v>
      </c>
      <c r="C52" s="12">
        <f t="shared" si="17"/>
        <v>-0.35546961765404739</v>
      </c>
      <c r="D52" s="12">
        <f t="shared" si="9"/>
        <v>7.4048676801385938E-8</v>
      </c>
      <c r="E52" s="12">
        <f t="shared" si="10"/>
        <v>-0.3554696634186465</v>
      </c>
      <c r="F52" s="12">
        <f t="shared" si="11"/>
        <v>-0.35546964593812508</v>
      </c>
      <c r="G52" s="12">
        <f t="shared" si="12"/>
        <v>39.562154706789912</v>
      </c>
      <c r="H52" s="12">
        <f t="shared" si="13"/>
        <v>39.562154706789926</v>
      </c>
      <c r="I52" s="4" t="str">
        <f t="shared" si="14"/>
        <v>-</v>
      </c>
      <c r="J52" s="4" t="str">
        <f t="shared" si="15"/>
        <v>yes</v>
      </c>
    </row>
    <row r="53" spans="1:10" x14ac:dyDescent="0.35">
      <c r="A53" s="4">
        <v>40</v>
      </c>
      <c r="B53" s="12">
        <f t="shared" si="16"/>
        <v>-0.35546969170272419</v>
      </c>
      <c r="C53" s="12">
        <f t="shared" si="17"/>
        <v>-0.35546961765404739</v>
      </c>
      <c r="D53" s="12">
        <f t="shared" si="9"/>
        <v>7.4048676801385938E-8</v>
      </c>
      <c r="E53" s="12">
        <f t="shared" si="10"/>
        <v>-0.3554696634186465</v>
      </c>
      <c r="F53" s="12">
        <f t="shared" si="11"/>
        <v>-0.35546964593812508</v>
      </c>
      <c r="G53" s="12">
        <f t="shared" si="12"/>
        <v>39.562154706789912</v>
      </c>
      <c r="H53" s="12">
        <f t="shared" si="13"/>
        <v>39.562154706789926</v>
      </c>
      <c r="I53" s="4" t="str">
        <f t="shared" si="14"/>
        <v>-</v>
      </c>
      <c r="J53" s="4" t="str">
        <f t="shared" si="15"/>
        <v>yes</v>
      </c>
    </row>
    <row r="54" spans="1:10" x14ac:dyDescent="0.35">
      <c r="A54" s="4">
        <v>41</v>
      </c>
      <c r="B54" s="12">
        <f t="shared" si="16"/>
        <v>-0.35546969170272419</v>
      </c>
      <c r="C54" s="12">
        <f t="shared" si="17"/>
        <v>-0.35546961765404739</v>
      </c>
      <c r="D54" s="12">
        <f t="shared" si="9"/>
        <v>7.4048676801385938E-8</v>
      </c>
      <c r="E54" s="12">
        <f t="shared" si="10"/>
        <v>-0.3554696634186465</v>
      </c>
      <c r="F54" s="12">
        <f t="shared" si="11"/>
        <v>-0.35546964593812508</v>
      </c>
      <c r="G54" s="12">
        <f t="shared" si="12"/>
        <v>39.562154706789912</v>
      </c>
      <c r="H54" s="12">
        <f t="shared" si="13"/>
        <v>39.562154706789926</v>
      </c>
      <c r="I54" s="4" t="str">
        <f t="shared" si="14"/>
        <v>-</v>
      </c>
      <c r="J54" s="4" t="str">
        <f t="shared" si="15"/>
        <v>yes</v>
      </c>
    </row>
    <row r="55" spans="1:10" x14ac:dyDescent="0.35">
      <c r="A55" s="4">
        <v>42</v>
      </c>
      <c r="B55" s="12">
        <f t="shared" si="16"/>
        <v>-0.35546969170272419</v>
      </c>
      <c r="C55" s="12">
        <f t="shared" si="17"/>
        <v>-0.35546961765404739</v>
      </c>
      <c r="D55" s="12">
        <f t="shared" si="9"/>
        <v>7.4048676801385938E-8</v>
      </c>
      <c r="E55" s="12">
        <f t="shared" si="10"/>
        <v>-0.3554696634186465</v>
      </c>
      <c r="F55" s="12">
        <f t="shared" si="11"/>
        <v>-0.35546964593812508</v>
      </c>
      <c r="G55" s="12">
        <f t="shared" si="12"/>
        <v>39.562154706789912</v>
      </c>
      <c r="H55" s="12">
        <f t="shared" si="13"/>
        <v>39.562154706789926</v>
      </c>
      <c r="I55" s="4" t="str">
        <f t="shared" si="14"/>
        <v>-</v>
      </c>
      <c r="J55" s="4" t="str">
        <f t="shared" si="15"/>
        <v>yes</v>
      </c>
    </row>
    <row r="56" spans="1:10" x14ac:dyDescent="0.35">
      <c r="A56" s="4">
        <v>43</v>
      </c>
      <c r="B56" s="12">
        <f t="shared" si="16"/>
        <v>-0.35546969170272419</v>
      </c>
      <c r="C56" s="12">
        <f t="shared" si="17"/>
        <v>-0.35546961765404739</v>
      </c>
      <c r="D56" s="12">
        <f t="shared" si="9"/>
        <v>7.4048676801385938E-8</v>
      </c>
      <c r="E56" s="12">
        <f t="shared" si="10"/>
        <v>-0.3554696634186465</v>
      </c>
      <c r="F56" s="12">
        <f t="shared" si="11"/>
        <v>-0.35546964593812508</v>
      </c>
      <c r="G56" s="12">
        <f t="shared" si="12"/>
        <v>39.562154706789912</v>
      </c>
      <c r="H56" s="12">
        <f t="shared" si="13"/>
        <v>39.562154706789926</v>
      </c>
      <c r="I56" s="4" t="str">
        <f t="shared" si="14"/>
        <v>-</v>
      </c>
      <c r="J56" s="4" t="str">
        <f t="shared" si="15"/>
        <v>yes</v>
      </c>
    </row>
    <row r="57" spans="1:10" x14ac:dyDescent="0.35">
      <c r="A57" s="4">
        <v>44</v>
      </c>
      <c r="B57" s="12">
        <f t="shared" si="16"/>
        <v>-0.35546969170272419</v>
      </c>
      <c r="C57" s="12">
        <f t="shared" si="17"/>
        <v>-0.35546961765404739</v>
      </c>
      <c r="D57" s="12">
        <f t="shared" si="9"/>
        <v>7.4048676801385938E-8</v>
      </c>
      <c r="E57" s="12">
        <f t="shared" si="10"/>
        <v>-0.3554696634186465</v>
      </c>
      <c r="F57" s="12">
        <f t="shared" si="11"/>
        <v>-0.35546964593812508</v>
      </c>
      <c r="G57" s="12">
        <f t="shared" si="12"/>
        <v>39.562154706789912</v>
      </c>
      <c r="H57" s="12">
        <f t="shared" si="13"/>
        <v>39.562154706789926</v>
      </c>
      <c r="I57" s="4" t="str">
        <f t="shared" si="14"/>
        <v>-</v>
      </c>
      <c r="J57" s="4" t="str">
        <f t="shared" si="15"/>
        <v>yes</v>
      </c>
    </row>
    <row r="58" spans="1:10" x14ac:dyDescent="0.35">
      <c r="A58" s="4">
        <v>45</v>
      </c>
      <c r="B58" s="12">
        <f t="shared" si="16"/>
        <v>-0.35546969170272419</v>
      </c>
      <c r="C58" s="12">
        <f t="shared" si="17"/>
        <v>-0.35546961765404739</v>
      </c>
      <c r="D58" s="12">
        <f t="shared" si="9"/>
        <v>7.4048676801385938E-8</v>
      </c>
      <c r="E58" s="12">
        <f t="shared" si="10"/>
        <v>-0.3554696634186465</v>
      </c>
      <c r="F58" s="12">
        <f t="shared" si="11"/>
        <v>-0.35546964593812508</v>
      </c>
      <c r="G58" s="12">
        <f t="shared" si="12"/>
        <v>39.562154706789912</v>
      </c>
      <c r="H58" s="12">
        <f t="shared" si="13"/>
        <v>39.562154706789926</v>
      </c>
      <c r="I58" s="4" t="str">
        <f t="shared" si="14"/>
        <v>-</v>
      </c>
      <c r="J58" s="4" t="str">
        <f t="shared" si="15"/>
        <v>yes</v>
      </c>
    </row>
    <row r="59" spans="1:10" x14ac:dyDescent="0.35">
      <c r="A59" s="4">
        <v>46</v>
      </c>
      <c r="B59" s="12">
        <f t="shared" si="16"/>
        <v>-0.35546969170272419</v>
      </c>
      <c r="C59" s="12">
        <f t="shared" si="17"/>
        <v>-0.35546961765404739</v>
      </c>
      <c r="D59" s="12">
        <f t="shared" si="9"/>
        <v>7.4048676801385938E-8</v>
      </c>
      <c r="E59" s="12">
        <f t="shared" si="10"/>
        <v>-0.3554696634186465</v>
      </c>
      <c r="F59" s="12">
        <f t="shared" si="11"/>
        <v>-0.35546964593812508</v>
      </c>
      <c r="G59" s="12">
        <f t="shared" si="12"/>
        <v>39.562154706789912</v>
      </c>
      <c r="H59" s="12">
        <f t="shared" si="13"/>
        <v>39.562154706789926</v>
      </c>
      <c r="I59" s="4" t="str">
        <f t="shared" si="14"/>
        <v>-</v>
      </c>
      <c r="J59" s="4" t="str">
        <f t="shared" si="15"/>
        <v>yes</v>
      </c>
    </row>
    <row r="60" spans="1:10" x14ac:dyDescent="0.35">
      <c r="A60" s="4">
        <v>47</v>
      </c>
      <c r="B60" s="12">
        <f t="shared" si="16"/>
        <v>-0.35546969170272419</v>
      </c>
      <c r="C60" s="12">
        <f t="shared" si="17"/>
        <v>-0.35546961765404739</v>
      </c>
      <c r="D60" s="12">
        <f t="shared" si="9"/>
        <v>7.4048676801385938E-8</v>
      </c>
      <c r="E60" s="12">
        <f t="shared" si="10"/>
        <v>-0.3554696634186465</v>
      </c>
      <c r="F60" s="12">
        <f t="shared" si="11"/>
        <v>-0.35546964593812508</v>
      </c>
      <c r="G60" s="12">
        <f t="shared" si="12"/>
        <v>39.562154706789912</v>
      </c>
      <c r="H60" s="12">
        <f t="shared" si="13"/>
        <v>39.562154706789926</v>
      </c>
      <c r="I60" s="4" t="str">
        <f t="shared" si="14"/>
        <v>-</v>
      </c>
      <c r="J60" s="4" t="str">
        <f t="shared" si="15"/>
        <v>yes</v>
      </c>
    </row>
    <row r="61" spans="1:10" x14ac:dyDescent="0.35">
      <c r="A61" s="4">
        <v>48</v>
      </c>
      <c r="B61" s="12">
        <f t="shared" si="16"/>
        <v>-0.35546969170272419</v>
      </c>
      <c r="C61" s="12">
        <f t="shared" si="17"/>
        <v>-0.35546961765404739</v>
      </c>
      <c r="D61" s="12">
        <f t="shared" si="9"/>
        <v>7.4048676801385938E-8</v>
      </c>
      <c r="E61" s="12">
        <f t="shared" si="10"/>
        <v>-0.3554696634186465</v>
      </c>
      <c r="F61" s="12">
        <f t="shared" si="11"/>
        <v>-0.35546964593812508</v>
      </c>
      <c r="G61" s="12">
        <f t="shared" si="12"/>
        <v>39.562154706789912</v>
      </c>
      <c r="H61" s="12">
        <f t="shared" si="13"/>
        <v>39.562154706789926</v>
      </c>
      <c r="I61" s="4" t="str">
        <f t="shared" si="14"/>
        <v>-</v>
      </c>
      <c r="J61" s="4" t="str">
        <f t="shared" si="15"/>
        <v>yes</v>
      </c>
    </row>
    <row r="62" spans="1:10" x14ac:dyDescent="0.35">
      <c r="A62" s="4">
        <v>49</v>
      </c>
      <c r="B62" s="12">
        <f t="shared" si="16"/>
        <v>-0.35546969170272419</v>
      </c>
      <c r="C62" s="12">
        <f t="shared" si="17"/>
        <v>-0.35546961765404739</v>
      </c>
      <c r="D62" s="12">
        <f t="shared" si="9"/>
        <v>7.4048676801385938E-8</v>
      </c>
      <c r="E62" s="12">
        <f t="shared" si="10"/>
        <v>-0.3554696634186465</v>
      </c>
      <c r="F62" s="12">
        <f t="shared" si="11"/>
        <v>-0.35546964593812508</v>
      </c>
      <c r="G62" s="12">
        <f t="shared" si="12"/>
        <v>39.562154706789912</v>
      </c>
      <c r="H62" s="12">
        <f t="shared" si="13"/>
        <v>39.562154706789926</v>
      </c>
      <c r="I62" s="4" t="str">
        <f t="shared" si="14"/>
        <v>-</v>
      </c>
      <c r="J62" s="4" t="str">
        <f t="shared" si="15"/>
        <v>yes</v>
      </c>
    </row>
    <row r="63" spans="1:10" x14ac:dyDescent="0.35">
      <c r="A6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3"/>
  <sheetViews>
    <sheetView zoomScaleNormal="100" workbookViewId="0">
      <pane ySplit="12" topLeftCell="A13" activePane="bottomLeft" state="frozen"/>
      <selection pane="bottomLeft" activeCell="G8" sqref="G8"/>
    </sheetView>
  </sheetViews>
  <sheetFormatPr defaultColWidth="8.6328125" defaultRowHeight="14.5" x14ac:dyDescent="0.35"/>
  <cols>
    <col min="1" max="1" width="22" customWidth="1"/>
    <col min="2" max="3" width="14" customWidth="1"/>
    <col min="4" max="4" width="12" customWidth="1"/>
    <col min="5" max="6" width="18" customWidth="1"/>
    <col min="7" max="8" width="13" customWidth="1"/>
    <col min="9" max="9" width="15" customWidth="1"/>
    <col min="10" max="10" width="10" customWidth="1"/>
  </cols>
  <sheetData>
    <row r="1" spans="1:10" ht="16.5" x14ac:dyDescent="0.35">
      <c r="A1" s="1" t="s">
        <v>39</v>
      </c>
    </row>
    <row r="3" spans="1:10" x14ac:dyDescent="0.35">
      <c r="A3" s="6" t="s">
        <v>16</v>
      </c>
      <c r="B3" s="7">
        <v>-8</v>
      </c>
      <c r="C3" s="2"/>
      <c r="E3" s="6" t="s">
        <v>17</v>
      </c>
      <c r="F3" s="8">
        <f>(1+SQRT(5))/2</f>
        <v>1.6180339887498949</v>
      </c>
    </row>
    <row r="4" spans="1:10" x14ac:dyDescent="0.35">
      <c r="A4" s="6" t="s">
        <v>18</v>
      </c>
      <c r="B4" s="7">
        <v>0</v>
      </c>
      <c r="C4" s="2"/>
      <c r="E4" s="6" t="s">
        <v>19</v>
      </c>
      <c r="F4" s="8">
        <f>2-F3</f>
        <v>0.3819660112501051</v>
      </c>
    </row>
    <row r="5" spans="1:10" x14ac:dyDescent="0.35">
      <c r="A5" s="6" t="s">
        <v>20</v>
      </c>
      <c r="B5" s="7">
        <v>1</v>
      </c>
      <c r="C5" s="2"/>
      <c r="E5" s="9" t="s">
        <v>21</v>
      </c>
      <c r="F5" s="10">
        <f>(B62+C62)/2</f>
        <v>-0.67207811045467114</v>
      </c>
    </row>
    <row r="6" spans="1:10" x14ac:dyDescent="0.35">
      <c r="A6" s="6" t="s">
        <v>22</v>
      </c>
      <c r="B6" s="7">
        <v>0</v>
      </c>
      <c r="C6" s="2"/>
      <c r="E6" s="9" t="s">
        <v>23</v>
      </c>
      <c r="F6" s="10">
        <f>SQRT((F5-$B$3)^2+($B$5*F5^2+$B$6*F5+$B$7-$B$4)^2)</f>
        <v>9.1334195143644568</v>
      </c>
    </row>
    <row r="7" spans="1:10" x14ac:dyDescent="0.35">
      <c r="A7" s="6" t="s">
        <v>24</v>
      </c>
      <c r="B7" s="7">
        <v>5</v>
      </c>
      <c r="C7" s="2"/>
      <c r="E7" s="9" t="s">
        <v>6</v>
      </c>
      <c r="F7" s="9">
        <f>COUNTIF(J13:J62,"no")</f>
        <v>37</v>
      </c>
    </row>
    <row r="8" spans="1:10" x14ac:dyDescent="0.35">
      <c r="A8" s="6" t="s">
        <v>25</v>
      </c>
      <c r="B8" s="7">
        <v>-2</v>
      </c>
      <c r="C8" s="2"/>
    </row>
    <row r="9" spans="1:10" x14ac:dyDescent="0.35">
      <c r="A9" s="6" t="s">
        <v>26</v>
      </c>
      <c r="B9" s="7">
        <v>2</v>
      </c>
      <c r="C9" s="2"/>
    </row>
    <row r="10" spans="1:10" x14ac:dyDescent="0.35">
      <c r="A10" s="6" t="s">
        <v>27</v>
      </c>
      <c r="B10" s="11">
        <v>9.9999999999999995E-8</v>
      </c>
      <c r="C10" s="2"/>
    </row>
    <row r="12" spans="1:10" x14ac:dyDescent="0.35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</row>
    <row r="13" spans="1:10" x14ac:dyDescent="0.35">
      <c r="A13" s="4">
        <v>0</v>
      </c>
      <c r="B13" s="12">
        <f>$B$8</f>
        <v>-2</v>
      </c>
      <c r="C13" s="12">
        <f>$B$9</f>
        <v>2</v>
      </c>
      <c r="D13" s="12">
        <f t="shared" ref="D13:D44" si="0">C13-B13</f>
        <v>4</v>
      </c>
      <c r="E13" s="12">
        <f t="shared" ref="E13:E44" si="1">B13+$F$4*(C13-B13)</f>
        <v>-0.47213595499957961</v>
      </c>
      <c r="F13" s="12">
        <f t="shared" ref="F13:F44" si="2">C13-$F$4*(C13-B13)</f>
        <v>0.47213595499957961</v>
      </c>
      <c r="G13" s="12">
        <f t="shared" ref="G13:G44" si="3">(E13-$B$3)^2+($B$5*E13^2+$B$6*E13+$B$7-$B$4)^2</f>
        <v>83.947550600286007</v>
      </c>
      <c r="H13" s="12">
        <f t="shared" ref="H13:H44" si="4">(F13-$B$3)^2+($B$5*F13^2+$B$6*F13+$B$7-$B$4)^2</f>
        <v>99.055901160272555</v>
      </c>
      <c r="I13" s="4" t="str">
        <f t="shared" ref="I13:I44" si="5">IF(J13="yes","-",IF(G13&lt;H13,"left: b = x2","right: a = x1"))</f>
        <v>left: b = x2</v>
      </c>
      <c r="J13" s="4" t="str">
        <f t="shared" ref="J13:J44" si="6">IF(D13&lt;$B$10,"yes","no")</f>
        <v>no</v>
      </c>
    </row>
    <row r="14" spans="1:10" x14ac:dyDescent="0.35">
      <c r="A14" s="4">
        <v>1</v>
      </c>
      <c r="B14" s="12">
        <f t="shared" ref="B14:B45" si="7">IF(J13="yes",B13,IF(G13&lt;H13,B13,E13))</f>
        <v>-2</v>
      </c>
      <c r="C14" s="12">
        <f t="shared" ref="C14:C45" si="8">IF(J13="yes",C13,IF(G13&lt;H13,F13,C13))</f>
        <v>0.47213595499957961</v>
      </c>
      <c r="D14" s="12">
        <f t="shared" si="0"/>
        <v>2.4721359549995796</v>
      </c>
      <c r="E14" s="12">
        <f t="shared" si="1"/>
        <v>-1.0557280900008412</v>
      </c>
      <c r="F14" s="12">
        <f t="shared" si="2"/>
        <v>-0.47213595499957917</v>
      </c>
      <c r="G14" s="12">
        <f t="shared" si="3"/>
        <v>85.610778366228359</v>
      </c>
      <c r="H14" s="12">
        <f t="shared" si="4"/>
        <v>83.947550600286007</v>
      </c>
      <c r="I14" s="4" t="str">
        <f t="shared" si="5"/>
        <v>right: a = x1</v>
      </c>
      <c r="J14" s="4" t="str">
        <f t="shared" si="6"/>
        <v>no</v>
      </c>
    </row>
    <row r="15" spans="1:10" x14ac:dyDescent="0.35">
      <c r="A15" s="4">
        <v>2</v>
      </c>
      <c r="B15" s="12">
        <f t="shared" si="7"/>
        <v>-1.0557280900008412</v>
      </c>
      <c r="C15" s="12">
        <f t="shared" si="8"/>
        <v>0.47213595499957961</v>
      </c>
      <c r="D15" s="12">
        <f t="shared" si="0"/>
        <v>1.5278640450004208</v>
      </c>
      <c r="E15" s="12">
        <f t="shared" si="1"/>
        <v>-0.47213595499957939</v>
      </c>
      <c r="F15" s="12">
        <f t="shared" si="2"/>
        <v>-0.11145618000168223</v>
      </c>
      <c r="G15" s="12">
        <f t="shared" si="3"/>
        <v>83.947550600286007</v>
      </c>
      <c r="H15" s="12">
        <f t="shared" si="4"/>
        <v>87.353502718650176</v>
      </c>
      <c r="I15" s="4" t="str">
        <f t="shared" si="5"/>
        <v>left: b = x2</v>
      </c>
      <c r="J15" s="4" t="str">
        <f t="shared" si="6"/>
        <v>no</v>
      </c>
    </row>
    <row r="16" spans="1:10" x14ac:dyDescent="0.35">
      <c r="A16" s="4">
        <v>3</v>
      </c>
      <c r="B16" s="12">
        <f t="shared" si="7"/>
        <v>-1.0557280900008412</v>
      </c>
      <c r="C16" s="12">
        <f t="shared" si="8"/>
        <v>-0.11145618000168223</v>
      </c>
      <c r="D16" s="12">
        <f t="shared" si="0"/>
        <v>0.944271909999159</v>
      </c>
      <c r="E16" s="12">
        <f t="shared" si="1"/>
        <v>-0.69504831500294428</v>
      </c>
      <c r="F16" s="12">
        <f t="shared" si="2"/>
        <v>-0.47213595499957922</v>
      </c>
      <c r="G16" s="12">
        <f t="shared" si="3"/>
        <v>83.426618757261167</v>
      </c>
      <c r="H16" s="12">
        <f t="shared" si="4"/>
        <v>83.947550600286007</v>
      </c>
      <c r="I16" s="4" t="str">
        <f t="shared" si="5"/>
        <v>left: b = x2</v>
      </c>
      <c r="J16" s="4" t="str">
        <f t="shared" si="6"/>
        <v>no</v>
      </c>
    </row>
    <row r="17" spans="1:10" x14ac:dyDescent="0.35">
      <c r="A17" s="4">
        <v>4</v>
      </c>
      <c r="B17" s="12">
        <f t="shared" si="7"/>
        <v>-1.0557280900008412</v>
      </c>
      <c r="C17" s="12">
        <f t="shared" si="8"/>
        <v>-0.47213595499957922</v>
      </c>
      <c r="D17" s="12">
        <f t="shared" si="0"/>
        <v>0.58359213500126206</v>
      </c>
      <c r="E17" s="12">
        <f t="shared" si="1"/>
        <v>-0.83281572999747633</v>
      </c>
      <c r="F17" s="12">
        <f t="shared" si="2"/>
        <v>-0.69504831500294417</v>
      </c>
      <c r="G17" s="12">
        <f t="shared" si="3"/>
        <v>83.785406807876498</v>
      </c>
      <c r="H17" s="12">
        <f t="shared" si="4"/>
        <v>83.426618757261167</v>
      </c>
      <c r="I17" s="4" t="str">
        <f t="shared" si="5"/>
        <v>right: a = x1</v>
      </c>
      <c r="J17" s="4" t="str">
        <f t="shared" si="6"/>
        <v>no</v>
      </c>
    </row>
    <row r="18" spans="1:10" x14ac:dyDescent="0.35">
      <c r="A18" s="4">
        <v>5</v>
      </c>
      <c r="B18" s="12">
        <f t="shared" si="7"/>
        <v>-0.83281572999747633</v>
      </c>
      <c r="C18" s="12">
        <f t="shared" si="8"/>
        <v>-0.47213595499957922</v>
      </c>
      <c r="D18" s="12">
        <f t="shared" si="0"/>
        <v>0.36067977499789711</v>
      </c>
      <c r="E18" s="12">
        <f t="shared" si="1"/>
        <v>-0.69504831500294417</v>
      </c>
      <c r="F18" s="12">
        <f t="shared" si="2"/>
        <v>-0.60990336999411132</v>
      </c>
      <c r="G18" s="12">
        <f t="shared" si="3"/>
        <v>83.426618757261167</v>
      </c>
      <c r="H18" s="12">
        <f t="shared" si="4"/>
        <v>83.471720106269046</v>
      </c>
      <c r="I18" s="4" t="str">
        <f t="shared" si="5"/>
        <v>left: b = x2</v>
      </c>
      <c r="J18" s="4" t="str">
        <f t="shared" si="6"/>
        <v>no</v>
      </c>
    </row>
    <row r="19" spans="1:10" x14ac:dyDescent="0.35">
      <c r="A19" s="4">
        <v>6</v>
      </c>
      <c r="B19" s="12">
        <f t="shared" si="7"/>
        <v>-0.83281572999747633</v>
      </c>
      <c r="C19" s="12">
        <f t="shared" si="8"/>
        <v>-0.60990336999411132</v>
      </c>
      <c r="D19" s="12">
        <f t="shared" si="0"/>
        <v>0.22291236000336501</v>
      </c>
      <c r="E19" s="12">
        <f t="shared" si="1"/>
        <v>-0.74767078498864348</v>
      </c>
      <c r="F19" s="12">
        <f t="shared" si="2"/>
        <v>-0.69504831500294406</v>
      </c>
      <c r="G19" s="12">
        <f t="shared" si="3"/>
        <v>83.498889042144356</v>
      </c>
      <c r="H19" s="12">
        <f t="shared" si="4"/>
        <v>83.426618757261167</v>
      </c>
      <c r="I19" s="4" t="str">
        <f t="shared" si="5"/>
        <v>right: a = x1</v>
      </c>
      <c r="J19" s="4" t="str">
        <f t="shared" si="6"/>
        <v>no</v>
      </c>
    </row>
    <row r="20" spans="1:10" x14ac:dyDescent="0.35">
      <c r="A20" s="4">
        <v>7</v>
      </c>
      <c r="B20" s="12">
        <f t="shared" si="7"/>
        <v>-0.74767078498864348</v>
      </c>
      <c r="C20" s="12">
        <f t="shared" si="8"/>
        <v>-0.60990336999411132</v>
      </c>
      <c r="D20" s="12">
        <f t="shared" si="0"/>
        <v>0.13776741499453216</v>
      </c>
      <c r="E20" s="12">
        <f t="shared" si="1"/>
        <v>-0.69504831500294406</v>
      </c>
      <c r="F20" s="12">
        <f t="shared" si="2"/>
        <v>-0.66252583997981074</v>
      </c>
      <c r="G20" s="12">
        <f t="shared" si="3"/>
        <v>83.426618757261167</v>
      </c>
      <c r="H20" s="12">
        <f t="shared" si="4"/>
        <v>83.420600687941885</v>
      </c>
      <c r="I20" s="4" t="str">
        <f t="shared" si="5"/>
        <v>right: a = x1</v>
      </c>
      <c r="J20" s="4" t="str">
        <f t="shared" si="6"/>
        <v>no</v>
      </c>
    </row>
    <row r="21" spans="1:10" x14ac:dyDescent="0.35">
      <c r="A21" s="4">
        <v>8</v>
      </c>
      <c r="B21" s="12">
        <f t="shared" si="7"/>
        <v>-0.69504831500294406</v>
      </c>
      <c r="C21" s="12">
        <f t="shared" si="8"/>
        <v>-0.60990336999411132</v>
      </c>
      <c r="D21" s="12">
        <f t="shared" si="0"/>
        <v>8.514494500883274E-2</v>
      </c>
      <c r="E21" s="12">
        <f t="shared" si="1"/>
        <v>-0.66252583997981063</v>
      </c>
      <c r="F21" s="12">
        <f t="shared" si="2"/>
        <v>-0.64242584501724476</v>
      </c>
      <c r="G21" s="12">
        <f t="shared" si="3"/>
        <v>83.420600687941885</v>
      </c>
      <c r="H21" s="12">
        <f t="shared" si="4"/>
        <v>83.431337451273762</v>
      </c>
      <c r="I21" s="4" t="str">
        <f t="shared" si="5"/>
        <v>left: b = x2</v>
      </c>
      <c r="J21" s="4" t="str">
        <f t="shared" si="6"/>
        <v>no</v>
      </c>
    </row>
    <row r="22" spans="1:10" x14ac:dyDescent="0.35">
      <c r="A22" s="4">
        <v>9</v>
      </c>
      <c r="B22" s="12">
        <f t="shared" si="7"/>
        <v>-0.69504831500294406</v>
      </c>
      <c r="C22" s="12">
        <f t="shared" si="8"/>
        <v>-0.64242584501724476</v>
      </c>
      <c r="D22" s="12">
        <f t="shared" si="0"/>
        <v>5.2622469985699305E-2</v>
      </c>
      <c r="E22" s="12">
        <f t="shared" si="1"/>
        <v>-0.67494832004037808</v>
      </c>
      <c r="F22" s="12">
        <f t="shared" si="2"/>
        <v>-0.66252583997981074</v>
      </c>
      <c r="G22" s="12">
        <f t="shared" si="3"/>
        <v>83.419465033218216</v>
      </c>
      <c r="H22" s="12">
        <f t="shared" si="4"/>
        <v>83.420600687941885</v>
      </c>
      <c r="I22" s="4" t="str">
        <f t="shared" si="5"/>
        <v>left: b = x2</v>
      </c>
      <c r="J22" s="4" t="str">
        <f t="shared" si="6"/>
        <v>no</v>
      </c>
    </row>
    <row r="23" spans="1:10" x14ac:dyDescent="0.35">
      <c r="A23" s="4">
        <v>10</v>
      </c>
      <c r="B23" s="12">
        <f t="shared" si="7"/>
        <v>-0.69504831500294406</v>
      </c>
      <c r="C23" s="12">
        <f t="shared" si="8"/>
        <v>-0.66252583997981074</v>
      </c>
      <c r="D23" s="12">
        <f t="shared" si="0"/>
        <v>3.2522475023133324E-2</v>
      </c>
      <c r="E23" s="12">
        <f t="shared" si="1"/>
        <v>-0.68262583494237661</v>
      </c>
      <c r="F23" s="12">
        <f t="shared" si="2"/>
        <v>-0.67494832004037819</v>
      </c>
      <c r="G23" s="12">
        <f t="shared" si="3"/>
        <v>83.420880501697866</v>
      </c>
      <c r="H23" s="12">
        <f t="shared" si="4"/>
        <v>83.419465033218216</v>
      </c>
      <c r="I23" s="4" t="str">
        <f t="shared" si="5"/>
        <v>right: a = x1</v>
      </c>
      <c r="J23" s="4" t="str">
        <f t="shared" si="6"/>
        <v>no</v>
      </c>
    </row>
    <row r="24" spans="1:10" x14ac:dyDescent="0.35">
      <c r="A24" s="4">
        <v>11</v>
      </c>
      <c r="B24" s="12">
        <f t="shared" si="7"/>
        <v>-0.68262583494237661</v>
      </c>
      <c r="C24" s="12">
        <f t="shared" si="8"/>
        <v>-0.66252583997981074</v>
      </c>
      <c r="D24" s="12">
        <f t="shared" si="0"/>
        <v>2.009999496256587E-2</v>
      </c>
      <c r="E24" s="12">
        <f t="shared" si="1"/>
        <v>-0.67494832004037808</v>
      </c>
      <c r="F24" s="12">
        <f t="shared" si="2"/>
        <v>-0.67020335488180927</v>
      </c>
      <c r="G24" s="12">
        <f t="shared" si="3"/>
        <v>83.419465033218216</v>
      </c>
      <c r="H24" s="12">
        <f t="shared" si="4"/>
        <v>83.419400195634751</v>
      </c>
      <c r="I24" s="4" t="str">
        <f t="shared" si="5"/>
        <v>right: a = x1</v>
      </c>
      <c r="J24" s="4" t="str">
        <f t="shared" si="6"/>
        <v>no</v>
      </c>
    </row>
    <row r="25" spans="1:10" x14ac:dyDescent="0.35">
      <c r="A25" s="4">
        <v>12</v>
      </c>
      <c r="B25" s="12">
        <f t="shared" si="7"/>
        <v>-0.67494832004037808</v>
      </c>
      <c r="C25" s="12">
        <f t="shared" si="8"/>
        <v>-0.66252583997981074</v>
      </c>
      <c r="D25" s="12">
        <f t="shared" si="0"/>
        <v>1.2422480060567342E-2</v>
      </c>
      <c r="E25" s="12">
        <f t="shared" si="1"/>
        <v>-0.67020335488180915</v>
      </c>
      <c r="F25" s="12">
        <f t="shared" si="2"/>
        <v>-0.66727080513837966</v>
      </c>
      <c r="G25" s="12">
        <f t="shared" si="3"/>
        <v>83.419400195634751</v>
      </c>
      <c r="H25" s="12">
        <f t="shared" si="4"/>
        <v>83.419668573117093</v>
      </c>
      <c r="I25" s="4" t="str">
        <f t="shared" si="5"/>
        <v>left: b = x2</v>
      </c>
      <c r="J25" s="4" t="str">
        <f t="shared" si="6"/>
        <v>no</v>
      </c>
    </row>
    <row r="26" spans="1:10" x14ac:dyDescent="0.35">
      <c r="A26" s="4">
        <v>13</v>
      </c>
      <c r="B26" s="12">
        <f t="shared" si="7"/>
        <v>-0.67494832004037808</v>
      </c>
      <c r="C26" s="12">
        <f t="shared" si="8"/>
        <v>-0.66727080513837966</v>
      </c>
      <c r="D26" s="12">
        <f t="shared" si="0"/>
        <v>7.6775149019984168E-3</v>
      </c>
      <c r="E26" s="12">
        <f t="shared" si="1"/>
        <v>-0.67201577029694848</v>
      </c>
      <c r="F26" s="12">
        <f t="shared" si="2"/>
        <v>-0.67020335488180927</v>
      </c>
      <c r="G26" s="12">
        <f t="shared" si="3"/>
        <v>83.419352078682337</v>
      </c>
      <c r="H26" s="12">
        <f t="shared" si="4"/>
        <v>83.419400195634751</v>
      </c>
      <c r="I26" s="4" t="str">
        <f t="shared" si="5"/>
        <v>left: b = x2</v>
      </c>
      <c r="J26" s="4" t="str">
        <f t="shared" si="6"/>
        <v>no</v>
      </c>
    </row>
    <row r="27" spans="1:10" x14ac:dyDescent="0.35">
      <c r="A27" s="4">
        <v>14</v>
      </c>
      <c r="B27" s="12">
        <f t="shared" si="7"/>
        <v>-0.67494832004037808</v>
      </c>
      <c r="C27" s="12">
        <f t="shared" si="8"/>
        <v>-0.67020335488180927</v>
      </c>
      <c r="D27" s="12">
        <f t="shared" si="0"/>
        <v>4.7449651585688146E-3</v>
      </c>
      <c r="E27" s="12">
        <f t="shared" si="1"/>
        <v>-0.67313590462523887</v>
      </c>
      <c r="F27" s="12">
        <f t="shared" si="2"/>
        <v>-0.67201577029694848</v>
      </c>
      <c r="G27" s="12">
        <f t="shared" si="3"/>
        <v>83.419367368742783</v>
      </c>
      <c r="H27" s="12">
        <f t="shared" si="4"/>
        <v>83.419352078682337</v>
      </c>
      <c r="I27" s="4" t="str">
        <f t="shared" si="5"/>
        <v>right: a = x1</v>
      </c>
      <c r="J27" s="4" t="str">
        <f t="shared" si="6"/>
        <v>no</v>
      </c>
    </row>
    <row r="28" spans="1:10" x14ac:dyDescent="0.35">
      <c r="A28" s="4">
        <v>15</v>
      </c>
      <c r="B28" s="12">
        <f t="shared" si="7"/>
        <v>-0.67313590462523887</v>
      </c>
      <c r="C28" s="12">
        <f t="shared" si="8"/>
        <v>-0.67020335488180927</v>
      </c>
      <c r="D28" s="12">
        <f t="shared" si="0"/>
        <v>2.9325497434296022E-3</v>
      </c>
      <c r="E28" s="12">
        <f t="shared" si="1"/>
        <v>-0.67201577029694859</v>
      </c>
      <c r="F28" s="12">
        <f t="shared" si="2"/>
        <v>-0.67132348921009954</v>
      </c>
      <c r="G28" s="12">
        <f t="shared" si="3"/>
        <v>83.419352078682337</v>
      </c>
      <c r="H28" s="12">
        <f t="shared" si="4"/>
        <v>83.419359831836289</v>
      </c>
      <c r="I28" s="4" t="str">
        <f t="shared" si="5"/>
        <v>left: b = x2</v>
      </c>
      <c r="J28" s="4" t="str">
        <f t="shared" si="6"/>
        <v>no</v>
      </c>
    </row>
    <row r="29" spans="1:10" x14ac:dyDescent="0.35">
      <c r="A29" s="4">
        <v>16</v>
      </c>
      <c r="B29" s="12">
        <f t="shared" si="7"/>
        <v>-0.67313590462523887</v>
      </c>
      <c r="C29" s="12">
        <f t="shared" si="8"/>
        <v>-0.67132348921009954</v>
      </c>
      <c r="D29" s="12">
        <f t="shared" si="0"/>
        <v>1.8124154151393235E-3</v>
      </c>
      <c r="E29" s="12">
        <f t="shared" si="1"/>
        <v>-0.67244362353838993</v>
      </c>
      <c r="F29" s="12">
        <f t="shared" si="2"/>
        <v>-0.67201577029694848</v>
      </c>
      <c r="G29" s="12">
        <f t="shared" si="3"/>
        <v>83.419353857012482</v>
      </c>
      <c r="H29" s="12">
        <f t="shared" si="4"/>
        <v>83.419352078682337</v>
      </c>
      <c r="I29" s="4" t="str">
        <f t="shared" si="5"/>
        <v>right: a = x1</v>
      </c>
      <c r="J29" s="4" t="str">
        <f t="shared" si="6"/>
        <v>no</v>
      </c>
    </row>
    <row r="30" spans="1:10" x14ac:dyDescent="0.35">
      <c r="A30" s="4">
        <v>17</v>
      </c>
      <c r="B30" s="12">
        <f t="shared" si="7"/>
        <v>-0.67244362353838993</v>
      </c>
      <c r="C30" s="12">
        <f t="shared" si="8"/>
        <v>-0.67132348921009954</v>
      </c>
      <c r="D30" s="12">
        <f t="shared" si="0"/>
        <v>1.1201343282903897E-3</v>
      </c>
      <c r="E30" s="12">
        <f t="shared" si="1"/>
        <v>-0.67201577029694859</v>
      </c>
      <c r="F30" s="12">
        <f t="shared" si="2"/>
        <v>-0.67175134245154089</v>
      </c>
      <c r="G30" s="12">
        <f t="shared" si="3"/>
        <v>83.419352078682337</v>
      </c>
      <c r="H30" s="12">
        <f t="shared" si="4"/>
        <v>83.419353489357405</v>
      </c>
      <c r="I30" s="4" t="str">
        <f t="shared" si="5"/>
        <v>left: b = x2</v>
      </c>
      <c r="J30" s="4" t="str">
        <f t="shared" si="6"/>
        <v>no</v>
      </c>
    </row>
    <row r="31" spans="1:10" x14ac:dyDescent="0.35">
      <c r="A31" s="4">
        <v>18</v>
      </c>
      <c r="B31" s="12">
        <f t="shared" si="7"/>
        <v>-0.67244362353838993</v>
      </c>
      <c r="C31" s="12">
        <f t="shared" si="8"/>
        <v>-0.67175134245154089</v>
      </c>
      <c r="D31" s="12">
        <f t="shared" si="0"/>
        <v>6.9228108684904477E-4</v>
      </c>
      <c r="E31" s="12">
        <f t="shared" si="1"/>
        <v>-0.67217919569298235</v>
      </c>
      <c r="F31" s="12">
        <f t="shared" si="2"/>
        <v>-0.67201577029694848</v>
      </c>
      <c r="G31" s="12">
        <f t="shared" si="3"/>
        <v>83.419352165424215</v>
      </c>
      <c r="H31" s="12">
        <f t="shared" si="4"/>
        <v>83.419352078682337</v>
      </c>
      <c r="I31" s="4" t="str">
        <f t="shared" si="5"/>
        <v>right: a = x1</v>
      </c>
      <c r="J31" s="4" t="str">
        <f t="shared" si="6"/>
        <v>no</v>
      </c>
    </row>
    <row r="32" spans="1:10" x14ac:dyDescent="0.35">
      <c r="A32" s="4">
        <v>19</v>
      </c>
      <c r="B32" s="12">
        <f t="shared" si="7"/>
        <v>-0.67217919569298235</v>
      </c>
      <c r="C32" s="12">
        <f t="shared" si="8"/>
        <v>-0.67175134245154089</v>
      </c>
      <c r="D32" s="12">
        <f t="shared" si="0"/>
        <v>4.2785324144145598E-4</v>
      </c>
      <c r="E32" s="12">
        <f t="shared" si="1"/>
        <v>-0.67201577029694848</v>
      </c>
      <c r="F32" s="12">
        <f t="shared" si="2"/>
        <v>-0.67191476784757476</v>
      </c>
      <c r="G32" s="12">
        <f t="shared" si="3"/>
        <v>83.419352078682337</v>
      </c>
      <c r="H32" s="12">
        <f t="shared" si="4"/>
        <v>83.419352391232295</v>
      </c>
      <c r="I32" s="4" t="str">
        <f t="shared" si="5"/>
        <v>left: b = x2</v>
      </c>
      <c r="J32" s="4" t="str">
        <f t="shared" si="6"/>
        <v>no</v>
      </c>
    </row>
    <row r="33" spans="1:10" x14ac:dyDescent="0.35">
      <c r="A33" s="4">
        <v>20</v>
      </c>
      <c r="B33" s="12">
        <f t="shared" si="7"/>
        <v>-0.67217919569298235</v>
      </c>
      <c r="C33" s="12">
        <f t="shared" si="8"/>
        <v>-0.67191476784757476</v>
      </c>
      <c r="D33" s="12">
        <f t="shared" si="0"/>
        <v>2.6442784540758879E-4</v>
      </c>
      <c r="E33" s="12">
        <f t="shared" si="1"/>
        <v>-0.67207819324360851</v>
      </c>
      <c r="F33" s="12">
        <f t="shared" si="2"/>
        <v>-0.67201577029694859</v>
      </c>
      <c r="G33" s="12">
        <f t="shared" si="3"/>
        <v>83.419352025373513</v>
      </c>
      <c r="H33" s="12">
        <f t="shared" si="4"/>
        <v>83.419352078682337</v>
      </c>
      <c r="I33" s="4" t="str">
        <f t="shared" si="5"/>
        <v>left: b = x2</v>
      </c>
      <c r="J33" s="4" t="str">
        <f t="shared" si="6"/>
        <v>no</v>
      </c>
    </row>
    <row r="34" spans="1:10" x14ac:dyDescent="0.35">
      <c r="A34" s="4">
        <v>21</v>
      </c>
      <c r="B34" s="12">
        <f t="shared" si="7"/>
        <v>-0.67217919569298235</v>
      </c>
      <c r="C34" s="12">
        <f t="shared" si="8"/>
        <v>-0.67201577029694859</v>
      </c>
      <c r="D34" s="12">
        <f t="shared" si="0"/>
        <v>1.6342539603375617E-4</v>
      </c>
      <c r="E34" s="12">
        <f t="shared" si="1"/>
        <v>-0.67211677274632231</v>
      </c>
      <c r="F34" s="12">
        <f t="shared" si="2"/>
        <v>-0.67207819324360862</v>
      </c>
      <c r="G34" s="12">
        <f t="shared" si="3"/>
        <v>83.419352045849848</v>
      </c>
      <c r="H34" s="12">
        <f t="shared" si="4"/>
        <v>83.419352025373513</v>
      </c>
      <c r="I34" s="4" t="str">
        <f t="shared" si="5"/>
        <v>right: a = x1</v>
      </c>
      <c r="J34" s="4" t="str">
        <f t="shared" si="6"/>
        <v>no</v>
      </c>
    </row>
    <row r="35" spans="1:10" x14ac:dyDescent="0.35">
      <c r="A35" s="4">
        <v>22</v>
      </c>
      <c r="B35" s="12">
        <f t="shared" si="7"/>
        <v>-0.67211677274632231</v>
      </c>
      <c r="C35" s="12">
        <f t="shared" si="8"/>
        <v>-0.67201577029694859</v>
      </c>
      <c r="D35" s="12">
        <f t="shared" si="0"/>
        <v>1.010024493737216E-4</v>
      </c>
      <c r="E35" s="12">
        <f t="shared" si="1"/>
        <v>-0.67207819324360851</v>
      </c>
      <c r="F35" s="12">
        <f t="shared" si="2"/>
        <v>-0.67205434979966239</v>
      </c>
      <c r="G35" s="12">
        <f t="shared" si="3"/>
        <v>83.419352025373513</v>
      </c>
      <c r="H35" s="12">
        <f t="shared" si="4"/>
        <v>83.419352033124369</v>
      </c>
      <c r="I35" s="4" t="str">
        <f t="shared" si="5"/>
        <v>left: b = x2</v>
      </c>
      <c r="J35" s="4" t="str">
        <f t="shared" si="6"/>
        <v>no</v>
      </c>
    </row>
    <row r="36" spans="1:10" x14ac:dyDescent="0.35">
      <c r="A36" s="4">
        <v>23</v>
      </c>
      <c r="B36" s="12">
        <f t="shared" si="7"/>
        <v>-0.67211677274632231</v>
      </c>
      <c r="C36" s="12">
        <f t="shared" si="8"/>
        <v>-0.67205434979966239</v>
      </c>
      <c r="D36" s="12">
        <f t="shared" si="0"/>
        <v>6.2422946659923539E-5</v>
      </c>
      <c r="E36" s="12">
        <f t="shared" si="1"/>
        <v>-0.67209292930237619</v>
      </c>
      <c r="F36" s="12">
        <f t="shared" si="2"/>
        <v>-0.67207819324360851</v>
      </c>
      <c r="G36" s="12">
        <f t="shared" si="3"/>
        <v>83.419352028377546</v>
      </c>
      <c r="H36" s="12">
        <f t="shared" si="4"/>
        <v>83.419352025373513</v>
      </c>
      <c r="I36" s="4" t="str">
        <f t="shared" si="5"/>
        <v>right: a = x1</v>
      </c>
      <c r="J36" s="4" t="str">
        <f t="shared" si="6"/>
        <v>no</v>
      </c>
    </row>
    <row r="37" spans="1:10" x14ac:dyDescent="0.35">
      <c r="A37" s="4">
        <v>24</v>
      </c>
      <c r="B37" s="12">
        <f t="shared" si="7"/>
        <v>-0.67209292930237619</v>
      </c>
      <c r="C37" s="12">
        <f t="shared" si="8"/>
        <v>-0.67205434979966239</v>
      </c>
      <c r="D37" s="12">
        <f t="shared" si="0"/>
        <v>3.8579502713798064E-5</v>
      </c>
      <c r="E37" s="12">
        <f t="shared" si="1"/>
        <v>-0.67207819324360862</v>
      </c>
      <c r="F37" s="12">
        <f t="shared" si="2"/>
        <v>-0.67206908585842995</v>
      </c>
      <c r="G37" s="12">
        <f t="shared" si="3"/>
        <v>83.419352025373513</v>
      </c>
      <c r="H37" s="12">
        <f t="shared" si="4"/>
        <v>83.419352026494096</v>
      </c>
      <c r="I37" s="4" t="str">
        <f t="shared" si="5"/>
        <v>left: b = x2</v>
      </c>
      <c r="J37" s="4" t="str">
        <f t="shared" si="6"/>
        <v>no</v>
      </c>
    </row>
    <row r="38" spans="1:10" x14ac:dyDescent="0.35">
      <c r="A38" s="4">
        <v>25</v>
      </c>
      <c r="B38" s="12">
        <f t="shared" si="7"/>
        <v>-0.67209292930237619</v>
      </c>
      <c r="C38" s="12">
        <f t="shared" si="8"/>
        <v>-0.67206908585842995</v>
      </c>
      <c r="D38" s="12">
        <f t="shared" si="0"/>
        <v>2.3843443946236498E-5</v>
      </c>
      <c r="E38" s="12">
        <f t="shared" si="1"/>
        <v>-0.67208382191719762</v>
      </c>
      <c r="F38" s="12">
        <f t="shared" si="2"/>
        <v>-0.67207819324360851</v>
      </c>
      <c r="G38" s="12">
        <f t="shared" si="3"/>
        <v>83.419352025818128</v>
      </c>
      <c r="H38" s="12">
        <f t="shared" si="4"/>
        <v>83.419352025373513</v>
      </c>
      <c r="I38" s="4" t="str">
        <f t="shared" si="5"/>
        <v>right: a = x1</v>
      </c>
      <c r="J38" s="4" t="str">
        <f t="shared" si="6"/>
        <v>no</v>
      </c>
    </row>
    <row r="39" spans="1:10" x14ac:dyDescent="0.35">
      <c r="A39" s="4">
        <v>26</v>
      </c>
      <c r="B39" s="12">
        <f t="shared" si="7"/>
        <v>-0.67208382191719762</v>
      </c>
      <c r="C39" s="12">
        <f t="shared" si="8"/>
        <v>-0.67206908585842995</v>
      </c>
      <c r="D39" s="12">
        <f t="shared" si="0"/>
        <v>1.4736058767672588E-5</v>
      </c>
      <c r="E39" s="12">
        <f t="shared" si="1"/>
        <v>-0.67207819324360862</v>
      </c>
      <c r="F39" s="12">
        <f t="shared" si="2"/>
        <v>-0.67207471453201895</v>
      </c>
      <c r="G39" s="12">
        <f t="shared" si="3"/>
        <v>83.419352025373513</v>
      </c>
      <c r="H39" s="12">
        <f t="shared" si="4"/>
        <v>83.419352025533087</v>
      </c>
      <c r="I39" s="4" t="str">
        <f t="shared" si="5"/>
        <v>left: b = x2</v>
      </c>
      <c r="J39" s="4" t="str">
        <f t="shared" si="6"/>
        <v>no</v>
      </c>
    </row>
    <row r="40" spans="1:10" x14ac:dyDescent="0.35">
      <c r="A40" s="4">
        <v>27</v>
      </c>
      <c r="B40" s="12">
        <f t="shared" si="7"/>
        <v>-0.67208382191719762</v>
      </c>
      <c r="C40" s="12">
        <f t="shared" si="8"/>
        <v>-0.67207471453201895</v>
      </c>
      <c r="D40" s="12">
        <f t="shared" si="0"/>
        <v>9.1073851786749316E-6</v>
      </c>
      <c r="E40" s="12">
        <f t="shared" si="1"/>
        <v>-0.67208034320560806</v>
      </c>
      <c r="F40" s="12">
        <f t="shared" si="2"/>
        <v>-0.67207819324360851</v>
      </c>
      <c r="G40" s="12">
        <f t="shared" si="3"/>
        <v>83.419352025440801</v>
      </c>
      <c r="H40" s="12">
        <f t="shared" si="4"/>
        <v>83.419352025373513</v>
      </c>
      <c r="I40" s="4" t="str">
        <f t="shared" si="5"/>
        <v>right: a = x1</v>
      </c>
      <c r="J40" s="4" t="str">
        <f t="shared" si="6"/>
        <v>no</v>
      </c>
    </row>
    <row r="41" spans="1:10" x14ac:dyDescent="0.35">
      <c r="A41" s="4">
        <v>28</v>
      </c>
      <c r="B41" s="12">
        <f t="shared" si="7"/>
        <v>-0.67208034320560806</v>
      </c>
      <c r="C41" s="12">
        <f t="shared" si="8"/>
        <v>-0.67207471453201895</v>
      </c>
      <c r="D41" s="12">
        <f t="shared" si="0"/>
        <v>5.6286735891086792E-6</v>
      </c>
      <c r="E41" s="12">
        <f t="shared" si="1"/>
        <v>-0.67207819324360862</v>
      </c>
      <c r="F41" s="12">
        <f t="shared" si="2"/>
        <v>-0.67207686449401838</v>
      </c>
      <c r="G41" s="12">
        <f t="shared" si="3"/>
        <v>83.419352025373513</v>
      </c>
      <c r="H41" s="12">
        <f t="shared" si="4"/>
        <v>83.419352025395312</v>
      </c>
      <c r="I41" s="4" t="str">
        <f t="shared" si="5"/>
        <v>left: b = x2</v>
      </c>
      <c r="J41" s="4" t="str">
        <f t="shared" si="6"/>
        <v>no</v>
      </c>
    </row>
    <row r="42" spans="1:10" x14ac:dyDescent="0.35">
      <c r="A42" s="4">
        <v>29</v>
      </c>
      <c r="B42" s="12">
        <f t="shared" si="7"/>
        <v>-0.67208034320560806</v>
      </c>
      <c r="C42" s="12">
        <f t="shared" si="8"/>
        <v>-0.67207686449401838</v>
      </c>
      <c r="D42" s="12">
        <f t="shared" si="0"/>
        <v>3.4787115896772747E-6</v>
      </c>
      <c r="E42" s="12">
        <f t="shared" si="1"/>
        <v>-0.67207901445601781</v>
      </c>
      <c r="F42" s="12">
        <f t="shared" si="2"/>
        <v>-0.67207819324360862</v>
      </c>
      <c r="G42" s="12">
        <f t="shared" si="3"/>
        <v>83.419352025384256</v>
      </c>
      <c r="H42" s="12">
        <f t="shared" si="4"/>
        <v>83.419352025373513</v>
      </c>
      <c r="I42" s="4" t="str">
        <f t="shared" si="5"/>
        <v>right: a = x1</v>
      </c>
      <c r="J42" s="4" t="str">
        <f t="shared" si="6"/>
        <v>no</v>
      </c>
    </row>
    <row r="43" spans="1:10" x14ac:dyDescent="0.35">
      <c r="A43" s="4">
        <v>30</v>
      </c>
      <c r="B43" s="12">
        <f t="shared" si="7"/>
        <v>-0.67207901445601781</v>
      </c>
      <c r="C43" s="12">
        <f t="shared" si="8"/>
        <v>-0.67207686449401838</v>
      </c>
      <c r="D43" s="12">
        <f t="shared" si="0"/>
        <v>2.1499619994314045E-6</v>
      </c>
      <c r="E43" s="12">
        <f t="shared" si="1"/>
        <v>-0.67207819324360851</v>
      </c>
      <c r="F43" s="12">
        <f t="shared" si="2"/>
        <v>-0.67207768570642767</v>
      </c>
      <c r="G43" s="12">
        <f t="shared" si="3"/>
        <v>83.419352025373513</v>
      </c>
      <c r="H43" s="12">
        <f t="shared" si="4"/>
        <v>83.419352025376128</v>
      </c>
      <c r="I43" s="4" t="str">
        <f t="shared" si="5"/>
        <v>left: b = x2</v>
      </c>
      <c r="J43" s="4" t="str">
        <f t="shared" si="6"/>
        <v>no</v>
      </c>
    </row>
    <row r="44" spans="1:10" x14ac:dyDescent="0.35">
      <c r="A44" s="4">
        <v>31</v>
      </c>
      <c r="B44" s="12">
        <f t="shared" si="7"/>
        <v>-0.67207901445601781</v>
      </c>
      <c r="C44" s="12">
        <f t="shared" si="8"/>
        <v>-0.67207768570642767</v>
      </c>
      <c r="D44" s="12">
        <f t="shared" si="0"/>
        <v>1.3287495901348478E-6</v>
      </c>
      <c r="E44" s="12">
        <f t="shared" si="1"/>
        <v>-0.67207850691883686</v>
      </c>
      <c r="F44" s="12">
        <f t="shared" si="2"/>
        <v>-0.67207819324360862</v>
      </c>
      <c r="G44" s="12">
        <f t="shared" si="3"/>
        <v>83.419352025375431</v>
      </c>
      <c r="H44" s="12">
        <f t="shared" si="4"/>
        <v>83.419352025373513</v>
      </c>
      <c r="I44" s="4" t="str">
        <f t="shared" si="5"/>
        <v>right: a = x1</v>
      </c>
      <c r="J44" s="4" t="str">
        <f t="shared" si="6"/>
        <v>no</v>
      </c>
    </row>
    <row r="45" spans="1:10" x14ac:dyDescent="0.35">
      <c r="A45" s="4">
        <v>32</v>
      </c>
      <c r="B45" s="12">
        <f t="shared" si="7"/>
        <v>-0.67207850691883686</v>
      </c>
      <c r="C45" s="12">
        <f t="shared" si="8"/>
        <v>-0.67207768570642767</v>
      </c>
      <c r="D45" s="12">
        <f t="shared" ref="D45:D62" si="9">C45-B45</f>
        <v>8.212124091855344E-7</v>
      </c>
      <c r="E45" s="12">
        <f t="shared" ref="E45:E62" si="10">B45+$F$4*(C45-B45)</f>
        <v>-0.67207819324360851</v>
      </c>
      <c r="F45" s="12">
        <f t="shared" ref="F45:F62" si="11">C45-$F$4*(C45-B45)</f>
        <v>-0.67207799938165602</v>
      </c>
      <c r="G45" s="12">
        <f t="shared" ref="G45:G62" si="12">(E45-$B$3)^2+($B$5*E45^2+$B$6*E45+$B$7-$B$4)^2</f>
        <v>83.419352025373513</v>
      </c>
      <c r="H45" s="12">
        <f t="shared" ref="H45:H62" si="13">(F45-$B$3)^2+($B$5*F45^2+$B$6*F45+$B$7-$B$4)^2</f>
        <v>83.419352025373669</v>
      </c>
      <c r="I45" s="4" t="str">
        <f t="shared" ref="I45:I62" si="14">IF(J45="yes","-",IF(G45&lt;H45,"left: b = x2","right: a = x1"))</f>
        <v>left: b = x2</v>
      </c>
      <c r="J45" s="4" t="str">
        <f t="shared" ref="J45:J62" si="15">IF(D45&lt;$B$10,"yes","no")</f>
        <v>no</v>
      </c>
    </row>
    <row r="46" spans="1:10" x14ac:dyDescent="0.35">
      <c r="A46" s="4">
        <v>33</v>
      </c>
      <c r="B46" s="12">
        <f t="shared" ref="B46:B62" si="16">IF(J45="yes",B45,IF(G45&lt;H45,B45,E45))</f>
        <v>-0.67207850691883686</v>
      </c>
      <c r="C46" s="12">
        <f t="shared" ref="C46:C62" si="17">IF(J45="yes",C45,IF(G45&lt;H45,F45,C45))</f>
        <v>-0.67207799938165602</v>
      </c>
      <c r="D46" s="12">
        <f t="shared" si="9"/>
        <v>5.0753718083829114E-7</v>
      </c>
      <c r="E46" s="12">
        <f t="shared" si="10"/>
        <v>-0.67207831305688437</v>
      </c>
      <c r="F46" s="12">
        <f t="shared" si="11"/>
        <v>-0.67207819324360851</v>
      </c>
      <c r="G46" s="12">
        <f t="shared" si="12"/>
        <v>83.419352025373925</v>
      </c>
      <c r="H46" s="12">
        <f t="shared" si="13"/>
        <v>83.419352025373513</v>
      </c>
      <c r="I46" s="4" t="str">
        <f t="shared" si="14"/>
        <v>right: a = x1</v>
      </c>
      <c r="J46" s="4" t="str">
        <f t="shared" si="15"/>
        <v>no</v>
      </c>
    </row>
    <row r="47" spans="1:10" x14ac:dyDescent="0.35">
      <c r="A47" s="4">
        <v>34</v>
      </c>
      <c r="B47" s="12">
        <f t="shared" si="16"/>
        <v>-0.67207831305688437</v>
      </c>
      <c r="C47" s="12">
        <f t="shared" si="17"/>
        <v>-0.67207799938165602</v>
      </c>
      <c r="D47" s="12">
        <f t="shared" si="9"/>
        <v>3.1367522834724326E-7</v>
      </c>
      <c r="E47" s="12">
        <f t="shared" si="10"/>
        <v>-0.67207819324360862</v>
      </c>
      <c r="F47" s="12">
        <f t="shared" si="11"/>
        <v>-0.67207811919493177</v>
      </c>
      <c r="G47" s="12">
        <f t="shared" si="12"/>
        <v>83.419352025373513</v>
      </c>
      <c r="H47" s="12">
        <f t="shared" si="13"/>
        <v>83.419352025373442</v>
      </c>
      <c r="I47" s="4" t="str">
        <f t="shared" si="14"/>
        <v>right: a = x1</v>
      </c>
      <c r="J47" s="4" t="str">
        <f t="shared" si="15"/>
        <v>no</v>
      </c>
    </row>
    <row r="48" spans="1:10" x14ac:dyDescent="0.35">
      <c r="A48" s="4">
        <v>35</v>
      </c>
      <c r="B48" s="12">
        <f t="shared" si="16"/>
        <v>-0.67207819324360862</v>
      </c>
      <c r="C48" s="12">
        <f t="shared" si="17"/>
        <v>-0.67207799938165602</v>
      </c>
      <c r="D48" s="12">
        <f t="shared" si="9"/>
        <v>1.9386195260207018E-7</v>
      </c>
      <c r="E48" s="12">
        <f t="shared" si="10"/>
        <v>-0.67207811919493188</v>
      </c>
      <c r="F48" s="12">
        <f t="shared" si="11"/>
        <v>-0.67207807343033277</v>
      </c>
      <c r="G48" s="12">
        <f t="shared" si="12"/>
        <v>83.419352025373442</v>
      </c>
      <c r="H48" s="12">
        <f t="shared" si="13"/>
        <v>83.419352025373485</v>
      </c>
      <c r="I48" s="4" t="str">
        <f t="shared" si="14"/>
        <v>left: b = x2</v>
      </c>
      <c r="J48" s="4" t="str">
        <f t="shared" si="15"/>
        <v>no</v>
      </c>
    </row>
    <row r="49" spans="1:10" x14ac:dyDescent="0.35">
      <c r="A49" s="4">
        <v>36</v>
      </c>
      <c r="B49" s="12">
        <f t="shared" si="16"/>
        <v>-0.67207819324360862</v>
      </c>
      <c r="C49" s="12">
        <f t="shared" si="17"/>
        <v>-0.67207807343033277</v>
      </c>
      <c r="D49" s="12">
        <f t="shared" si="9"/>
        <v>1.1981327585619539E-7</v>
      </c>
      <c r="E49" s="12">
        <f t="shared" si="10"/>
        <v>-0.67207814747900951</v>
      </c>
      <c r="F49" s="12">
        <f t="shared" si="11"/>
        <v>-0.67207811919493188</v>
      </c>
      <c r="G49" s="12">
        <f t="shared" si="12"/>
        <v>83.419352025373456</v>
      </c>
      <c r="H49" s="12">
        <f t="shared" si="13"/>
        <v>83.419352025373442</v>
      </c>
      <c r="I49" s="4" t="str">
        <f t="shared" si="14"/>
        <v>right: a = x1</v>
      </c>
      <c r="J49" s="4" t="str">
        <f t="shared" si="15"/>
        <v>no</v>
      </c>
    </row>
    <row r="50" spans="1:10" x14ac:dyDescent="0.35">
      <c r="A50" s="4">
        <v>37</v>
      </c>
      <c r="B50" s="12">
        <f t="shared" si="16"/>
        <v>-0.67207814747900951</v>
      </c>
      <c r="C50" s="12">
        <f t="shared" si="17"/>
        <v>-0.67207807343033277</v>
      </c>
      <c r="D50" s="12">
        <f t="shared" si="9"/>
        <v>7.4048676745874786E-8</v>
      </c>
      <c r="E50" s="12">
        <f t="shared" si="10"/>
        <v>-0.67207811919493177</v>
      </c>
      <c r="F50" s="12">
        <f t="shared" si="11"/>
        <v>-0.67207810171441051</v>
      </c>
      <c r="G50" s="12">
        <f t="shared" si="12"/>
        <v>83.419352025373442</v>
      </c>
      <c r="H50" s="12">
        <f t="shared" si="13"/>
        <v>83.419352025373456</v>
      </c>
      <c r="I50" s="4" t="str">
        <f t="shared" si="14"/>
        <v>-</v>
      </c>
      <c r="J50" s="4" t="str">
        <f t="shared" si="15"/>
        <v>yes</v>
      </c>
    </row>
    <row r="51" spans="1:10" x14ac:dyDescent="0.35">
      <c r="A51" s="4">
        <v>38</v>
      </c>
      <c r="B51" s="12">
        <f t="shared" si="16"/>
        <v>-0.67207814747900951</v>
      </c>
      <c r="C51" s="12">
        <f t="shared" si="17"/>
        <v>-0.67207807343033277</v>
      </c>
      <c r="D51" s="12">
        <f t="shared" si="9"/>
        <v>7.4048676745874786E-8</v>
      </c>
      <c r="E51" s="12">
        <f t="shared" si="10"/>
        <v>-0.67207811919493177</v>
      </c>
      <c r="F51" s="12">
        <f t="shared" si="11"/>
        <v>-0.67207810171441051</v>
      </c>
      <c r="G51" s="12">
        <f t="shared" si="12"/>
        <v>83.419352025373442</v>
      </c>
      <c r="H51" s="12">
        <f t="shared" si="13"/>
        <v>83.419352025373456</v>
      </c>
      <c r="I51" s="4" t="str">
        <f t="shared" si="14"/>
        <v>-</v>
      </c>
      <c r="J51" s="4" t="str">
        <f t="shared" si="15"/>
        <v>yes</v>
      </c>
    </row>
    <row r="52" spans="1:10" x14ac:dyDescent="0.35">
      <c r="A52" s="4">
        <v>39</v>
      </c>
      <c r="B52" s="12">
        <f t="shared" si="16"/>
        <v>-0.67207814747900951</v>
      </c>
      <c r="C52" s="12">
        <f t="shared" si="17"/>
        <v>-0.67207807343033277</v>
      </c>
      <c r="D52" s="12">
        <f t="shared" si="9"/>
        <v>7.4048676745874786E-8</v>
      </c>
      <c r="E52" s="12">
        <f t="shared" si="10"/>
        <v>-0.67207811919493177</v>
      </c>
      <c r="F52" s="12">
        <f t="shared" si="11"/>
        <v>-0.67207810171441051</v>
      </c>
      <c r="G52" s="12">
        <f t="shared" si="12"/>
        <v>83.419352025373442</v>
      </c>
      <c r="H52" s="12">
        <f t="shared" si="13"/>
        <v>83.419352025373456</v>
      </c>
      <c r="I52" s="4" t="str">
        <f t="shared" si="14"/>
        <v>-</v>
      </c>
      <c r="J52" s="4" t="str">
        <f t="shared" si="15"/>
        <v>yes</v>
      </c>
    </row>
    <row r="53" spans="1:10" x14ac:dyDescent="0.35">
      <c r="A53" s="4">
        <v>40</v>
      </c>
      <c r="B53" s="12">
        <f t="shared" si="16"/>
        <v>-0.67207814747900951</v>
      </c>
      <c r="C53" s="12">
        <f t="shared" si="17"/>
        <v>-0.67207807343033277</v>
      </c>
      <c r="D53" s="12">
        <f t="shared" si="9"/>
        <v>7.4048676745874786E-8</v>
      </c>
      <c r="E53" s="12">
        <f t="shared" si="10"/>
        <v>-0.67207811919493177</v>
      </c>
      <c r="F53" s="12">
        <f t="shared" si="11"/>
        <v>-0.67207810171441051</v>
      </c>
      <c r="G53" s="12">
        <f t="shared" si="12"/>
        <v>83.419352025373442</v>
      </c>
      <c r="H53" s="12">
        <f t="shared" si="13"/>
        <v>83.419352025373456</v>
      </c>
      <c r="I53" s="4" t="str">
        <f t="shared" si="14"/>
        <v>-</v>
      </c>
      <c r="J53" s="4" t="str">
        <f t="shared" si="15"/>
        <v>yes</v>
      </c>
    </row>
    <row r="54" spans="1:10" x14ac:dyDescent="0.35">
      <c r="A54" s="4">
        <v>41</v>
      </c>
      <c r="B54" s="12">
        <f t="shared" si="16"/>
        <v>-0.67207814747900951</v>
      </c>
      <c r="C54" s="12">
        <f t="shared" si="17"/>
        <v>-0.67207807343033277</v>
      </c>
      <c r="D54" s="12">
        <f t="shared" si="9"/>
        <v>7.4048676745874786E-8</v>
      </c>
      <c r="E54" s="12">
        <f t="shared" si="10"/>
        <v>-0.67207811919493177</v>
      </c>
      <c r="F54" s="12">
        <f t="shared" si="11"/>
        <v>-0.67207810171441051</v>
      </c>
      <c r="G54" s="12">
        <f t="shared" si="12"/>
        <v>83.419352025373442</v>
      </c>
      <c r="H54" s="12">
        <f t="shared" si="13"/>
        <v>83.419352025373456</v>
      </c>
      <c r="I54" s="4" t="str">
        <f t="shared" si="14"/>
        <v>-</v>
      </c>
      <c r="J54" s="4" t="str">
        <f t="shared" si="15"/>
        <v>yes</v>
      </c>
    </row>
    <row r="55" spans="1:10" x14ac:dyDescent="0.35">
      <c r="A55" s="4">
        <v>42</v>
      </c>
      <c r="B55" s="12">
        <f t="shared" si="16"/>
        <v>-0.67207814747900951</v>
      </c>
      <c r="C55" s="12">
        <f t="shared" si="17"/>
        <v>-0.67207807343033277</v>
      </c>
      <c r="D55" s="12">
        <f t="shared" si="9"/>
        <v>7.4048676745874786E-8</v>
      </c>
      <c r="E55" s="12">
        <f t="shared" si="10"/>
        <v>-0.67207811919493177</v>
      </c>
      <c r="F55" s="12">
        <f t="shared" si="11"/>
        <v>-0.67207810171441051</v>
      </c>
      <c r="G55" s="12">
        <f t="shared" si="12"/>
        <v>83.419352025373442</v>
      </c>
      <c r="H55" s="12">
        <f t="shared" si="13"/>
        <v>83.419352025373456</v>
      </c>
      <c r="I55" s="4" t="str">
        <f t="shared" si="14"/>
        <v>-</v>
      </c>
      <c r="J55" s="4" t="str">
        <f t="shared" si="15"/>
        <v>yes</v>
      </c>
    </row>
    <row r="56" spans="1:10" x14ac:dyDescent="0.35">
      <c r="A56" s="4">
        <v>43</v>
      </c>
      <c r="B56" s="12">
        <f t="shared" si="16"/>
        <v>-0.67207814747900951</v>
      </c>
      <c r="C56" s="12">
        <f t="shared" si="17"/>
        <v>-0.67207807343033277</v>
      </c>
      <c r="D56" s="12">
        <f t="shared" si="9"/>
        <v>7.4048676745874786E-8</v>
      </c>
      <c r="E56" s="12">
        <f t="shared" si="10"/>
        <v>-0.67207811919493177</v>
      </c>
      <c r="F56" s="12">
        <f t="shared" si="11"/>
        <v>-0.67207810171441051</v>
      </c>
      <c r="G56" s="12">
        <f t="shared" si="12"/>
        <v>83.419352025373442</v>
      </c>
      <c r="H56" s="12">
        <f t="shared" si="13"/>
        <v>83.419352025373456</v>
      </c>
      <c r="I56" s="4" t="str">
        <f t="shared" si="14"/>
        <v>-</v>
      </c>
      <c r="J56" s="4" t="str">
        <f t="shared" si="15"/>
        <v>yes</v>
      </c>
    </row>
    <row r="57" spans="1:10" x14ac:dyDescent="0.35">
      <c r="A57" s="4">
        <v>44</v>
      </c>
      <c r="B57" s="12">
        <f t="shared" si="16"/>
        <v>-0.67207814747900951</v>
      </c>
      <c r="C57" s="12">
        <f t="shared" si="17"/>
        <v>-0.67207807343033277</v>
      </c>
      <c r="D57" s="12">
        <f t="shared" si="9"/>
        <v>7.4048676745874786E-8</v>
      </c>
      <c r="E57" s="12">
        <f t="shared" si="10"/>
        <v>-0.67207811919493177</v>
      </c>
      <c r="F57" s="12">
        <f t="shared" si="11"/>
        <v>-0.67207810171441051</v>
      </c>
      <c r="G57" s="12">
        <f t="shared" si="12"/>
        <v>83.419352025373442</v>
      </c>
      <c r="H57" s="12">
        <f t="shared" si="13"/>
        <v>83.419352025373456</v>
      </c>
      <c r="I57" s="4" t="str">
        <f t="shared" si="14"/>
        <v>-</v>
      </c>
      <c r="J57" s="4" t="str">
        <f t="shared" si="15"/>
        <v>yes</v>
      </c>
    </row>
    <row r="58" spans="1:10" x14ac:dyDescent="0.35">
      <c r="A58" s="4">
        <v>45</v>
      </c>
      <c r="B58" s="12">
        <f t="shared" si="16"/>
        <v>-0.67207814747900951</v>
      </c>
      <c r="C58" s="12">
        <f t="shared" si="17"/>
        <v>-0.67207807343033277</v>
      </c>
      <c r="D58" s="12">
        <f t="shared" si="9"/>
        <v>7.4048676745874786E-8</v>
      </c>
      <c r="E58" s="12">
        <f t="shared" si="10"/>
        <v>-0.67207811919493177</v>
      </c>
      <c r="F58" s="12">
        <f t="shared" si="11"/>
        <v>-0.67207810171441051</v>
      </c>
      <c r="G58" s="12">
        <f t="shared" si="12"/>
        <v>83.419352025373442</v>
      </c>
      <c r="H58" s="12">
        <f t="shared" si="13"/>
        <v>83.419352025373456</v>
      </c>
      <c r="I58" s="4" t="str">
        <f t="shared" si="14"/>
        <v>-</v>
      </c>
      <c r="J58" s="4" t="str">
        <f t="shared" si="15"/>
        <v>yes</v>
      </c>
    </row>
    <row r="59" spans="1:10" x14ac:dyDescent="0.35">
      <c r="A59" s="4">
        <v>46</v>
      </c>
      <c r="B59" s="12">
        <f t="shared" si="16"/>
        <v>-0.67207814747900951</v>
      </c>
      <c r="C59" s="12">
        <f t="shared" si="17"/>
        <v>-0.67207807343033277</v>
      </c>
      <c r="D59" s="12">
        <f t="shared" si="9"/>
        <v>7.4048676745874786E-8</v>
      </c>
      <c r="E59" s="12">
        <f t="shared" si="10"/>
        <v>-0.67207811919493177</v>
      </c>
      <c r="F59" s="12">
        <f t="shared" si="11"/>
        <v>-0.67207810171441051</v>
      </c>
      <c r="G59" s="12">
        <f t="shared" si="12"/>
        <v>83.419352025373442</v>
      </c>
      <c r="H59" s="12">
        <f t="shared" si="13"/>
        <v>83.419352025373456</v>
      </c>
      <c r="I59" s="4" t="str">
        <f t="shared" si="14"/>
        <v>-</v>
      </c>
      <c r="J59" s="4" t="str">
        <f t="shared" si="15"/>
        <v>yes</v>
      </c>
    </row>
    <row r="60" spans="1:10" x14ac:dyDescent="0.35">
      <c r="A60" s="4">
        <v>47</v>
      </c>
      <c r="B60" s="12">
        <f t="shared" si="16"/>
        <v>-0.67207814747900951</v>
      </c>
      <c r="C60" s="12">
        <f t="shared" si="17"/>
        <v>-0.67207807343033277</v>
      </c>
      <c r="D60" s="12">
        <f t="shared" si="9"/>
        <v>7.4048676745874786E-8</v>
      </c>
      <c r="E60" s="12">
        <f t="shared" si="10"/>
        <v>-0.67207811919493177</v>
      </c>
      <c r="F60" s="12">
        <f t="shared" si="11"/>
        <v>-0.67207810171441051</v>
      </c>
      <c r="G60" s="12">
        <f t="shared" si="12"/>
        <v>83.419352025373442</v>
      </c>
      <c r="H60" s="12">
        <f t="shared" si="13"/>
        <v>83.419352025373456</v>
      </c>
      <c r="I60" s="4" t="str">
        <f t="shared" si="14"/>
        <v>-</v>
      </c>
      <c r="J60" s="4" t="str">
        <f t="shared" si="15"/>
        <v>yes</v>
      </c>
    </row>
    <row r="61" spans="1:10" x14ac:dyDescent="0.35">
      <c r="A61" s="4">
        <v>48</v>
      </c>
      <c r="B61" s="12">
        <f t="shared" si="16"/>
        <v>-0.67207814747900951</v>
      </c>
      <c r="C61" s="12">
        <f t="shared" si="17"/>
        <v>-0.67207807343033277</v>
      </c>
      <c r="D61" s="12">
        <f t="shared" si="9"/>
        <v>7.4048676745874786E-8</v>
      </c>
      <c r="E61" s="12">
        <f t="shared" si="10"/>
        <v>-0.67207811919493177</v>
      </c>
      <c r="F61" s="12">
        <f t="shared" si="11"/>
        <v>-0.67207810171441051</v>
      </c>
      <c r="G61" s="12">
        <f t="shared" si="12"/>
        <v>83.419352025373442</v>
      </c>
      <c r="H61" s="12">
        <f t="shared" si="13"/>
        <v>83.419352025373456</v>
      </c>
      <c r="I61" s="4" t="str">
        <f t="shared" si="14"/>
        <v>-</v>
      </c>
      <c r="J61" s="4" t="str">
        <f t="shared" si="15"/>
        <v>yes</v>
      </c>
    </row>
    <row r="62" spans="1:10" x14ac:dyDescent="0.35">
      <c r="A62" s="4">
        <v>49</v>
      </c>
      <c r="B62" s="12">
        <f t="shared" si="16"/>
        <v>-0.67207814747900951</v>
      </c>
      <c r="C62" s="12">
        <f t="shared" si="17"/>
        <v>-0.67207807343033277</v>
      </c>
      <c r="D62" s="12">
        <f t="shared" si="9"/>
        <v>7.4048676745874786E-8</v>
      </c>
      <c r="E62" s="12">
        <f t="shared" si="10"/>
        <v>-0.67207811919493177</v>
      </c>
      <c r="F62" s="12">
        <f t="shared" si="11"/>
        <v>-0.67207810171441051</v>
      </c>
      <c r="G62" s="12">
        <f t="shared" si="12"/>
        <v>83.419352025373442</v>
      </c>
      <c r="H62" s="12">
        <f t="shared" si="13"/>
        <v>83.419352025373456</v>
      </c>
      <c r="I62" s="4" t="str">
        <f t="shared" si="14"/>
        <v>-</v>
      </c>
      <c r="J62" s="4" t="str">
        <f t="shared" si="15"/>
        <v>yes</v>
      </c>
    </row>
    <row r="63" spans="1:10" x14ac:dyDescent="0.35">
      <c r="A6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zoomScaleNormal="100" workbookViewId="0">
      <pane ySplit="12" topLeftCell="A13" activePane="bottomLeft" state="frozen"/>
      <selection pane="bottomLeft" activeCell="E9" sqref="E9"/>
    </sheetView>
  </sheetViews>
  <sheetFormatPr defaultColWidth="8.6328125" defaultRowHeight="14.5" x14ac:dyDescent="0.35"/>
  <cols>
    <col min="1" max="1" width="22" customWidth="1"/>
    <col min="2" max="3" width="14" customWidth="1"/>
    <col min="4" max="4" width="12" customWidth="1"/>
    <col min="5" max="6" width="18" customWidth="1"/>
    <col min="7" max="8" width="13" customWidth="1"/>
    <col min="9" max="9" width="15" customWidth="1"/>
    <col min="10" max="10" width="10" customWidth="1"/>
  </cols>
  <sheetData>
    <row r="1" spans="1:10" ht="16.5" x14ac:dyDescent="0.35">
      <c r="A1" s="1" t="s">
        <v>40</v>
      </c>
    </row>
    <row r="3" spans="1:10" x14ac:dyDescent="0.35">
      <c r="A3" s="6" t="s">
        <v>16</v>
      </c>
      <c r="B3" s="7">
        <v>2</v>
      </c>
      <c r="C3" s="2"/>
      <c r="E3" s="6" t="s">
        <v>17</v>
      </c>
      <c r="F3" s="8">
        <f>(1+SQRT(5))/2</f>
        <v>1.6180339887498949</v>
      </c>
    </row>
    <row r="4" spans="1:10" x14ac:dyDescent="0.35">
      <c r="A4" s="6" t="s">
        <v>18</v>
      </c>
      <c r="B4" s="7">
        <v>0</v>
      </c>
      <c r="C4" s="2"/>
      <c r="E4" s="6" t="s">
        <v>19</v>
      </c>
      <c r="F4" s="8">
        <f>2-F3</f>
        <v>0.3819660112501051</v>
      </c>
    </row>
    <row r="5" spans="1:10" x14ac:dyDescent="0.35">
      <c r="A5" s="6" t="s">
        <v>20</v>
      </c>
      <c r="B5" s="7">
        <v>1</v>
      </c>
      <c r="C5" s="2"/>
      <c r="E5" s="9" t="s">
        <v>21</v>
      </c>
      <c r="F5" s="10">
        <f>(B62+C62)/2</f>
        <v>0.18074464446017607</v>
      </c>
    </row>
    <row r="6" spans="1:10" x14ac:dyDescent="0.35">
      <c r="A6" s="6" t="s">
        <v>22</v>
      </c>
      <c r="B6" s="7">
        <v>0</v>
      </c>
      <c r="C6" s="2"/>
      <c r="E6" s="9" t="s">
        <v>23</v>
      </c>
      <c r="F6" s="10">
        <f>SQRT((F5-$B$3)^2+($B$5*F5^2+$B$6*F5+$B$7-$B$4)^2)</f>
        <v>5.3513964114825345</v>
      </c>
    </row>
    <row r="7" spans="1:10" x14ac:dyDescent="0.35">
      <c r="A7" s="6" t="s">
        <v>24</v>
      </c>
      <c r="B7" s="7">
        <v>5</v>
      </c>
      <c r="C7" s="2"/>
      <c r="E7" s="9" t="s">
        <v>6</v>
      </c>
      <c r="F7" s="9">
        <f>COUNTIF(J13:J62,"no")</f>
        <v>37</v>
      </c>
    </row>
    <row r="8" spans="1:10" x14ac:dyDescent="0.35">
      <c r="A8" s="6" t="s">
        <v>25</v>
      </c>
      <c r="B8" s="7">
        <v>-2</v>
      </c>
      <c r="C8" s="2"/>
    </row>
    <row r="9" spans="1:10" x14ac:dyDescent="0.35">
      <c r="A9" s="6" t="s">
        <v>26</v>
      </c>
      <c r="B9" s="7">
        <v>2</v>
      </c>
      <c r="C9" s="2"/>
    </row>
    <row r="10" spans="1:10" x14ac:dyDescent="0.35">
      <c r="A10" s="6" t="s">
        <v>27</v>
      </c>
      <c r="B10" s="11">
        <v>9.9999999999999995E-8</v>
      </c>
      <c r="C10" s="2"/>
    </row>
    <row r="12" spans="1:10" x14ac:dyDescent="0.35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</row>
    <row r="13" spans="1:10" x14ac:dyDescent="0.35">
      <c r="A13" s="4">
        <v>0</v>
      </c>
      <c r="B13" s="12">
        <f>$B$8</f>
        <v>-2</v>
      </c>
      <c r="C13" s="12">
        <f>$B$9</f>
        <v>2</v>
      </c>
      <c r="D13" s="12">
        <f t="shared" ref="D13:D44" si="0">C13-B13</f>
        <v>4</v>
      </c>
      <c r="E13" s="12">
        <f t="shared" ref="E13:E44" si="1">B13+$F$4*(C13-B13)</f>
        <v>-0.47213595499957961</v>
      </c>
      <c r="F13" s="12">
        <f t="shared" ref="F13:F44" si="2">C13-$F$4*(C13-B13)</f>
        <v>0.47213595499957961</v>
      </c>
      <c r="G13" s="12">
        <f t="shared" ref="G13:G44" si="3">(E13-$B$3)^2+($B$5*E13^2+$B$6*E13+$B$7-$B$4)^2</f>
        <v>33.390269700277599</v>
      </c>
      <c r="H13" s="12">
        <f t="shared" ref="H13:H44" si="4">(F13-$B$3)^2+($B$5*F13^2+$B$6*F13+$B$7-$B$4)^2</f>
        <v>29.613182060280963</v>
      </c>
      <c r="I13" s="4" t="str">
        <f t="shared" ref="I13:I44" si="5">IF(J13="yes","-",IF(G13&lt;H13,"left: b = x2","right: a = x1"))</f>
        <v>right: a = x1</v>
      </c>
      <c r="J13" s="4" t="str">
        <f t="shared" ref="J13:J44" si="6">IF(D13&lt;$B$10,"yes","no")</f>
        <v>no</v>
      </c>
    </row>
    <row r="14" spans="1:10" x14ac:dyDescent="0.35">
      <c r="A14" s="4">
        <v>1</v>
      </c>
      <c r="B14" s="12">
        <f t="shared" ref="B14:B45" si="7">IF(J13="yes",B13,IF(G13&lt;H13,B13,E13))</f>
        <v>-0.47213595499957961</v>
      </c>
      <c r="C14" s="12">
        <f t="shared" ref="C14:C45" si="8">IF(J13="yes",C13,IF(G13&lt;H13,F13,C13))</f>
        <v>2</v>
      </c>
      <c r="D14" s="12">
        <f t="shared" si="0"/>
        <v>2.4721359549995796</v>
      </c>
      <c r="E14" s="12">
        <f t="shared" si="1"/>
        <v>0.47213595499957917</v>
      </c>
      <c r="F14" s="12">
        <f t="shared" si="2"/>
        <v>1.0557280900008412</v>
      </c>
      <c r="G14" s="12">
        <f t="shared" si="3"/>
        <v>29.613182060280966</v>
      </c>
      <c r="H14" s="12">
        <f t="shared" si="4"/>
        <v>38.279515446238449</v>
      </c>
      <c r="I14" s="4" t="str">
        <f t="shared" si="5"/>
        <v>left: b = x2</v>
      </c>
      <c r="J14" s="4" t="str">
        <f t="shared" si="6"/>
        <v>no</v>
      </c>
    </row>
    <row r="15" spans="1:10" x14ac:dyDescent="0.35">
      <c r="A15" s="4">
        <v>2</v>
      </c>
      <c r="B15" s="12">
        <f t="shared" si="7"/>
        <v>-0.47213595499957961</v>
      </c>
      <c r="C15" s="12">
        <f t="shared" si="8"/>
        <v>1.0557280900008412</v>
      </c>
      <c r="D15" s="12">
        <f t="shared" si="0"/>
        <v>1.5278640450004208</v>
      </c>
      <c r="E15" s="12">
        <f t="shared" si="1"/>
        <v>0.11145618000168223</v>
      </c>
      <c r="F15" s="12">
        <f t="shared" si="2"/>
        <v>0.47213595499957939</v>
      </c>
      <c r="G15" s="12">
        <f t="shared" si="3"/>
        <v>28.690976878670366</v>
      </c>
      <c r="H15" s="12">
        <f t="shared" si="4"/>
        <v>29.613182060280966</v>
      </c>
      <c r="I15" s="4" t="str">
        <f t="shared" si="5"/>
        <v>left: b = x2</v>
      </c>
      <c r="J15" s="4" t="str">
        <f t="shared" si="6"/>
        <v>no</v>
      </c>
    </row>
    <row r="16" spans="1:10" x14ac:dyDescent="0.35">
      <c r="A16" s="4">
        <v>3</v>
      </c>
      <c r="B16" s="12">
        <f t="shared" si="7"/>
        <v>-0.47213595499957961</v>
      </c>
      <c r="C16" s="12">
        <f t="shared" si="8"/>
        <v>0.47213595499957939</v>
      </c>
      <c r="D16" s="12">
        <f t="shared" si="0"/>
        <v>0.944271909999159</v>
      </c>
      <c r="E16" s="12">
        <f t="shared" si="1"/>
        <v>-0.11145618000168261</v>
      </c>
      <c r="F16" s="12">
        <f t="shared" si="2"/>
        <v>0.11145618000168239</v>
      </c>
      <c r="G16" s="12">
        <f t="shared" si="3"/>
        <v>29.582626318683825</v>
      </c>
      <c r="H16" s="12">
        <f t="shared" si="4"/>
        <v>28.690976878670366</v>
      </c>
      <c r="I16" s="4" t="str">
        <f t="shared" si="5"/>
        <v>right: a = x1</v>
      </c>
      <c r="J16" s="4" t="str">
        <f t="shared" si="6"/>
        <v>no</v>
      </c>
    </row>
    <row r="17" spans="1:10" x14ac:dyDescent="0.35">
      <c r="A17" s="4">
        <v>4</v>
      </c>
      <c r="B17" s="12">
        <f t="shared" si="7"/>
        <v>-0.11145618000168261</v>
      </c>
      <c r="C17" s="12">
        <f t="shared" si="8"/>
        <v>0.47213595499957939</v>
      </c>
      <c r="D17" s="12">
        <f t="shared" si="0"/>
        <v>0.58359213500126206</v>
      </c>
      <c r="E17" s="12">
        <f t="shared" si="1"/>
        <v>0.11145618000168231</v>
      </c>
      <c r="F17" s="12">
        <f t="shared" si="2"/>
        <v>0.24922359499621446</v>
      </c>
      <c r="G17" s="12">
        <f t="shared" si="3"/>
        <v>28.690976878670366</v>
      </c>
      <c r="H17" s="12">
        <f t="shared" si="4"/>
        <v>28.69019997361773</v>
      </c>
      <c r="I17" s="4" t="str">
        <f t="shared" si="5"/>
        <v>right: a = x1</v>
      </c>
      <c r="J17" s="4" t="str">
        <f t="shared" si="6"/>
        <v>no</v>
      </c>
    </row>
    <row r="18" spans="1:10" x14ac:dyDescent="0.35">
      <c r="A18" s="4">
        <v>5</v>
      </c>
      <c r="B18" s="12">
        <f t="shared" si="7"/>
        <v>0.11145618000168231</v>
      </c>
      <c r="C18" s="12">
        <f t="shared" si="8"/>
        <v>0.47213595499957939</v>
      </c>
      <c r="D18" s="12">
        <f t="shared" si="0"/>
        <v>0.36067977499789705</v>
      </c>
      <c r="E18" s="12">
        <f t="shared" si="1"/>
        <v>0.24922359499621444</v>
      </c>
      <c r="F18" s="12">
        <f t="shared" si="2"/>
        <v>0.33436854000504723</v>
      </c>
      <c r="G18" s="12">
        <f t="shared" si="3"/>
        <v>28.69019997361773</v>
      </c>
      <c r="H18" s="12">
        <f t="shared" si="4"/>
        <v>28.904851124855256</v>
      </c>
      <c r="I18" s="4" t="str">
        <f t="shared" si="5"/>
        <v>left: b = x2</v>
      </c>
      <c r="J18" s="4" t="str">
        <f t="shared" si="6"/>
        <v>no</v>
      </c>
    </row>
    <row r="19" spans="1:10" x14ac:dyDescent="0.35">
      <c r="A19" s="4">
        <v>6</v>
      </c>
      <c r="B19" s="12">
        <f t="shared" si="7"/>
        <v>0.11145618000168231</v>
      </c>
      <c r="C19" s="12">
        <f t="shared" si="8"/>
        <v>0.33436854000504723</v>
      </c>
      <c r="D19" s="12">
        <f t="shared" si="0"/>
        <v>0.22291236000336492</v>
      </c>
      <c r="E19" s="12">
        <f t="shared" si="1"/>
        <v>0.19660112501051508</v>
      </c>
      <c r="F19" s="12">
        <f t="shared" si="2"/>
        <v>0.24922359499621446</v>
      </c>
      <c r="G19" s="12">
        <f t="shared" si="3"/>
        <v>28.640261503153425</v>
      </c>
      <c r="H19" s="12">
        <f t="shared" si="4"/>
        <v>28.69019997361773</v>
      </c>
      <c r="I19" s="4" t="str">
        <f t="shared" si="5"/>
        <v>left: b = x2</v>
      </c>
      <c r="J19" s="4" t="str">
        <f t="shared" si="6"/>
        <v>no</v>
      </c>
    </row>
    <row r="20" spans="1:10" x14ac:dyDescent="0.35">
      <c r="A20" s="4">
        <v>7</v>
      </c>
      <c r="B20" s="12">
        <f t="shared" si="7"/>
        <v>0.11145618000168231</v>
      </c>
      <c r="C20" s="12">
        <f t="shared" si="8"/>
        <v>0.24922359499621446</v>
      </c>
      <c r="D20" s="12">
        <f t="shared" si="0"/>
        <v>0.13776741499453216</v>
      </c>
      <c r="E20" s="12">
        <f t="shared" si="1"/>
        <v>0.16407864998738167</v>
      </c>
      <c r="F20" s="12">
        <f t="shared" si="2"/>
        <v>0.1966011250105151</v>
      </c>
      <c r="G20" s="12">
        <f t="shared" si="3"/>
        <v>28.640550020746293</v>
      </c>
      <c r="H20" s="12">
        <f t="shared" si="4"/>
        <v>28.640261503153425</v>
      </c>
      <c r="I20" s="4" t="str">
        <f t="shared" si="5"/>
        <v>right: a = x1</v>
      </c>
      <c r="J20" s="4" t="str">
        <f t="shared" si="6"/>
        <v>no</v>
      </c>
    </row>
    <row r="21" spans="1:10" x14ac:dyDescent="0.35">
      <c r="A21" s="4">
        <v>8</v>
      </c>
      <c r="B21" s="12">
        <f t="shared" si="7"/>
        <v>0.16407864998738167</v>
      </c>
      <c r="C21" s="12">
        <f t="shared" si="8"/>
        <v>0.24922359499621446</v>
      </c>
      <c r="D21" s="12">
        <f t="shared" si="0"/>
        <v>8.5144945008832795E-2</v>
      </c>
      <c r="E21" s="12">
        <f t="shared" si="1"/>
        <v>0.19660112501051508</v>
      </c>
      <c r="F21" s="12">
        <f t="shared" si="2"/>
        <v>0.21670111997308106</v>
      </c>
      <c r="G21" s="12">
        <f t="shared" si="3"/>
        <v>28.640261503153425</v>
      </c>
      <c r="H21" s="12">
        <f t="shared" si="4"/>
        <v>28.651953832418876</v>
      </c>
      <c r="I21" s="4" t="str">
        <f t="shared" si="5"/>
        <v>left: b = x2</v>
      </c>
      <c r="J21" s="4" t="str">
        <f t="shared" si="6"/>
        <v>no</v>
      </c>
    </row>
    <row r="22" spans="1:10" x14ac:dyDescent="0.35">
      <c r="A22" s="4">
        <v>9</v>
      </c>
      <c r="B22" s="12">
        <f t="shared" si="7"/>
        <v>0.16407864998738167</v>
      </c>
      <c r="C22" s="12">
        <f t="shared" si="8"/>
        <v>0.21670111997308106</v>
      </c>
      <c r="D22" s="12">
        <f t="shared" si="0"/>
        <v>5.2622469985699388E-2</v>
      </c>
      <c r="E22" s="12">
        <f t="shared" si="1"/>
        <v>0.18417864494994765</v>
      </c>
      <c r="F22" s="12">
        <f t="shared" si="2"/>
        <v>0.19660112501051508</v>
      </c>
      <c r="G22" s="12">
        <f t="shared" si="3"/>
        <v>28.637575612712599</v>
      </c>
      <c r="H22" s="12">
        <f t="shared" si="4"/>
        <v>28.640261503153425</v>
      </c>
      <c r="I22" s="4" t="str">
        <f t="shared" si="5"/>
        <v>left: b = x2</v>
      </c>
      <c r="J22" s="4" t="str">
        <f t="shared" si="6"/>
        <v>no</v>
      </c>
    </row>
    <row r="23" spans="1:10" x14ac:dyDescent="0.35">
      <c r="A23" s="4">
        <v>10</v>
      </c>
      <c r="B23" s="12">
        <f t="shared" si="7"/>
        <v>0.16407864998738167</v>
      </c>
      <c r="C23" s="12">
        <f t="shared" si="8"/>
        <v>0.19660112501051508</v>
      </c>
      <c r="D23" s="12">
        <f t="shared" si="0"/>
        <v>3.2522475023133407E-2</v>
      </c>
      <c r="E23" s="12">
        <f t="shared" si="1"/>
        <v>0.1765011300479491</v>
      </c>
      <c r="F23" s="12">
        <f t="shared" si="2"/>
        <v>0.18417864494994765</v>
      </c>
      <c r="G23" s="12">
        <f t="shared" si="3"/>
        <v>28.637645105332439</v>
      </c>
      <c r="H23" s="12">
        <f t="shared" si="4"/>
        <v>28.637575612712599</v>
      </c>
      <c r="I23" s="4" t="str">
        <f t="shared" si="5"/>
        <v>right: a = x1</v>
      </c>
      <c r="J23" s="4" t="str">
        <f t="shared" si="6"/>
        <v>no</v>
      </c>
    </row>
    <row r="24" spans="1:10" x14ac:dyDescent="0.35">
      <c r="A24" s="4">
        <v>11</v>
      </c>
      <c r="B24" s="12">
        <f t="shared" si="7"/>
        <v>0.1765011300479491</v>
      </c>
      <c r="C24" s="12">
        <f t="shared" si="8"/>
        <v>0.19660112501051508</v>
      </c>
      <c r="D24" s="12">
        <f t="shared" si="0"/>
        <v>2.0099994962565981E-2</v>
      </c>
      <c r="E24" s="12">
        <f t="shared" si="1"/>
        <v>0.18417864494994762</v>
      </c>
      <c r="F24" s="12">
        <f t="shared" si="2"/>
        <v>0.18892361010851655</v>
      </c>
      <c r="G24" s="12">
        <f t="shared" si="3"/>
        <v>28.637575612712599</v>
      </c>
      <c r="H24" s="12">
        <f t="shared" si="4"/>
        <v>28.638192922763238</v>
      </c>
      <c r="I24" s="4" t="str">
        <f t="shared" si="5"/>
        <v>left: b = x2</v>
      </c>
      <c r="J24" s="4" t="str">
        <f t="shared" si="6"/>
        <v>no</v>
      </c>
    </row>
    <row r="25" spans="1:10" x14ac:dyDescent="0.35">
      <c r="A25" s="4">
        <v>12</v>
      </c>
      <c r="B25" s="12">
        <f t="shared" si="7"/>
        <v>0.1765011300479491</v>
      </c>
      <c r="C25" s="12">
        <f t="shared" si="8"/>
        <v>0.18892361010851655</v>
      </c>
      <c r="D25" s="12">
        <f t="shared" si="0"/>
        <v>1.2422480060567453E-2</v>
      </c>
      <c r="E25" s="12">
        <f t="shared" si="1"/>
        <v>0.18124609520651802</v>
      </c>
      <c r="F25" s="12">
        <f t="shared" si="2"/>
        <v>0.18417864494994762</v>
      </c>
      <c r="G25" s="12">
        <f t="shared" si="3"/>
        <v>28.637446368637377</v>
      </c>
      <c r="H25" s="12">
        <f t="shared" si="4"/>
        <v>28.637575612712599</v>
      </c>
      <c r="I25" s="4" t="str">
        <f t="shared" si="5"/>
        <v>left: b = x2</v>
      </c>
      <c r="J25" s="4" t="str">
        <f t="shared" si="6"/>
        <v>no</v>
      </c>
    </row>
    <row r="26" spans="1:10" x14ac:dyDescent="0.35">
      <c r="A26" s="4">
        <v>13</v>
      </c>
      <c r="B26" s="12">
        <f t="shared" si="7"/>
        <v>0.1765011300479491</v>
      </c>
      <c r="C26" s="12">
        <f t="shared" si="8"/>
        <v>0.18417864494994762</v>
      </c>
      <c r="D26" s="12">
        <f t="shared" si="0"/>
        <v>7.6775149019985278E-3</v>
      </c>
      <c r="E26" s="12">
        <f t="shared" si="1"/>
        <v>0.17943367979137873</v>
      </c>
      <c r="F26" s="12">
        <f t="shared" si="2"/>
        <v>0.18124609520651799</v>
      </c>
      <c r="G26" s="12">
        <f t="shared" si="3"/>
        <v>28.637462791811906</v>
      </c>
      <c r="H26" s="12">
        <f t="shared" si="4"/>
        <v>28.637446368637377</v>
      </c>
      <c r="I26" s="4" t="str">
        <f t="shared" si="5"/>
        <v>right: a = x1</v>
      </c>
      <c r="J26" s="4" t="str">
        <f t="shared" si="6"/>
        <v>no</v>
      </c>
    </row>
    <row r="27" spans="1:10" x14ac:dyDescent="0.35">
      <c r="A27" s="4">
        <v>14</v>
      </c>
      <c r="B27" s="12">
        <f t="shared" si="7"/>
        <v>0.17943367979137873</v>
      </c>
      <c r="C27" s="12">
        <f t="shared" si="8"/>
        <v>0.18417864494994762</v>
      </c>
      <c r="D27" s="12">
        <f t="shared" si="0"/>
        <v>4.7449651585688979E-3</v>
      </c>
      <c r="E27" s="12">
        <f t="shared" si="1"/>
        <v>0.18124609520651802</v>
      </c>
      <c r="F27" s="12">
        <f t="shared" si="2"/>
        <v>0.18236622953480833</v>
      </c>
      <c r="G27" s="12">
        <f t="shared" si="3"/>
        <v>28.637446368637377</v>
      </c>
      <c r="H27" s="12">
        <f t="shared" si="4"/>
        <v>28.637472997709679</v>
      </c>
      <c r="I27" s="4" t="str">
        <f t="shared" si="5"/>
        <v>left: b = x2</v>
      </c>
      <c r="J27" s="4" t="str">
        <f t="shared" si="6"/>
        <v>no</v>
      </c>
    </row>
    <row r="28" spans="1:10" x14ac:dyDescent="0.35">
      <c r="A28" s="4">
        <v>15</v>
      </c>
      <c r="B28" s="12">
        <f t="shared" si="7"/>
        <v>0.17943367979137873</v>
      </c>
      <c r="C28" s="12">
        <f t="shared" si="8"/>
        <v>0.18236622953480833</v>
      </c>
      <c r="D28" s="12">
        <f t="shared" si="0"/>
        <v>2.9325497434296022E-3</v>
      </c>
      <c r="E28" s="12">
        <f t="shared" si="1"/>
        <v>0.18055381411966906</v>
      </c>
      <c r="F28" s="12">
        <f t="shared" si="2"/>
        <v>0.18124609520651799</v>
      </c>
      <c r="G28" s="12">
        <f t="shared" si="3"/>
        <v>28.637443960368699</v>
      </c>
      <c r="H28" s="12">
        <f t="shared" si="4"/>
        <v>28.637446368637377</v>
      </c>
      <c r="I28" s="4" t="str">
        <f t="shared" si="5"/>
        <v>left: b = x2</v>
      </c>
      <c r="J28" s="4" t="str">
        <f t="shared" si="6"/>
        <v>no</v>
      </c>
    </row>
    <row r="29" spans="1:10" x14ac:dyDescent="0.35">
      <c r="A29" s="4">
        <v>16</v>
      </c>
      <c r="B29" s="12">
        <f t="shared" si="7"/>
        <v>0.17943367979137873</v>
      </c>
      <c r="C29" s="12">
        <f t="shared" si="8"/>
        <v>0.18124609520651799</v>
      </c>
      <c r="D29" s="12">
        <f t="shared" si="0"/>
        <v>1.812415415139268E-3</v>
      </c>
      <c r="E29" s="12">
        <f t="shared" si="1"/>
        <v>0.18012596087822769</v>
      </c>
      <c r="F29" s="12">
        <f t="shared" si="2"/>
        <v>0.18055381411966903</v>
      </c>
      <c r="G29" s="12">
        <f t="shared" si="3"/>
        <v>28.637447837593623</v>
      </c>
      <c r="H29" s="12">
        <f t="shared" si="4"/>
        <v>28.637443960368699</v>
      </c>
      <c r="I29" s="4" t="str">
        <f t="shared" si="5"/>
        <v>right: a = x1</v>
      </c>
      <c r="J29" s="4" t="str">
        <f t="shared" si="6"/>
        <v>no</v>
      </c>
    </row>
    <row r="30" spans="1:10" x14ac:dyDescent="0.35">
      <c r="A30" s="4">
        <v>17</v>
      </c>
      <c r="B30" s="12">
        <f t="shared" si="7"/>
        <v>0.18012596087822769</v>
      </c>
      <c r="C30" s="12">
        <f t="shared" si="8"/>
        <v>0.18124609520651799</v>
      </c>
      <c r="D30" s="12">
        <f t="shared" si="0"/>
        <v>1.1201343282903065E-3</v>
      </c>
      <c r="E30" s="12">
        <f t="shared" si="1"/>
        <v>0.18055381411966906</v>
      </c>
      <c r="F30" s="12">
        <f t="shared" si="2"/>
        <v>0.18081824196507662</v>
      </c>
      <c r="G30" s="12">
        <f t="shared" si="3"/>
        <v>28.637443960368699</v>
      </c>
      <c r="H30" s="12">
        <f t="shared" si="4"/>
        <v>28.637443613538565</v>
      </c>
      <c r="I30" s="4" t="str">
        <f t="shared" si="5"/>
        <v>right: a = x1</v>
      </c>
      <c r="J30" s="4" t="str">
        <f t="shared" si="6"/>
        <v>no</v>
      </c>
    </row>
    <row r="31" spans="1:10" x14ac:dyDescent="0.35">
      <c r="A31" s="4">
        <v>18</v>
      </c>
      <c r="B31" s="12">
        <f t="shared" si="7"/>
        <v>0.18055381411966906</v>
      </c>
      <c r="C31" s="12">
        <f t="shared" si="8"/>
        <v>0.18124609520651799</v>
      </c>
      <c r="D31" s="12">
        <f t="shared" si="0"/>
        <v>6.9228108684893375E-4</v>
      </c>
      <c r="E31" s="12">
        <f t="shared" si="1"/>
        <v>0.18081824196507662</v>
      </c>
      <c r="F31" s="12">
        <f t="shared" si="2"/>
        <v>0.18098166736111043</v>
      </c>
      <c r="G31" s="12">
        <f t="shared" si="3"/>
        <v>28.637443613538565</v>
      </c>
      <c r="H31" s="12">
        <f t="shared" si="4"/>
        <v>28.637444182040301</v>
      </c>
      <c r="I31" s="4" t="str">
        <f t="shared" si="5"/>
        <v>left: b = x2</v>
      </c>
      <c r="J31" s="4" t="str">
        <f t="shared" si="6"/>
        <v>no</v>
      </c>
    </row>
    <row r="32" spans="1:10" x14ac:dyDescent="0.35">
      <c r="A32" s="4">
        <v>19</v>
      </c>
      <c r="B32" s="12">
        <f t="shared" si="7"/>
        <v>0.18055381411966906</v>
      </c>
      <c r="C32" s="12">
        <f t="shared" si="8"/>
        <v>0.18098166736111043</v>
      </c>
      <c r="D32" s="12">
        <f t="shared" si="0"/>
        <v>4.2785324144137271E-4</v>
      </c>
      <c r="E32" s="12">
        <f t="shared" si="1"/>
        <v>0.18071723951570284</v>
      </c>
      <c r="F32" s="12">
        <f t="shared" si="2"/>
        <v>0.18081824196507665</v>
      </c>
      <c r="G32" s="12">
        <f t="shared" si="3"/>
        <v>28.637443561212159</v>
      </c>
      <c r="H32" s="12">
        <f t="shared" si="4"/>
        <v>28.637443613538565</v>
      </c>
      <c r="I32" s="4" t="str">
        <f t="shared" si="5"/>
        <v>left: b = x2</v>
      </c>
      <c r="J32" s="4" t="str">
        <f t="shared" si="6"/>
        <v>no</v>
      </c>
    </row>
    <row r="33" spans="1:10" x14ac:dyDescent="0.35">
      <c r="A33" s="4">
        <v>20</v>
      </c>
      <c r="B33" s="12">
        <f t="shared" si="7"/>
        <v>0.18055381411966906</v>
      </c>
      <c r="C33" s="12">
        <f t="shared" si="8"/>
        <v>0.18081824196507665</v>
      </c>
      <c r="D33" s="12">
        <f t="shared" si="0"/>
        <v>2.6442784540758879E-4</v>
      </c>
      <c r="E33" s="12">
        <f t="shared" si="1"/>
        <v>0.18065481656904286</v>
      </c>
      <c r="F33" s="12">
        <f t="shared" si="2"/>
        <v>0.18071723951570284</v>
      </c>
      <c r="G33" s="12">
        <f t="shared" si="3"/>
        <v>28.637443643088382</v>
      </c>
      <c r="H33" s="12">
        <f t="shared" si="4"/>
        <v>28.637443561212159</v>
      </c>
      <c r="I33" s="4" t="str">
        <f t="shared" si="5"/>
        <v>right: a = x1</v>
      </c>
      <c r="J33" s="4" t="str">
        <f t="shared" si="6"/>
        <v>no</v>
      </c>
    </row>
    <row r="34" spans="1:10" x14ac:dyDescent="0.35">
      <c r="A34" s="4">
        <v>21</v>
      </c>
      <c r="B34" s="12">
        <f t="shared" si="7"/>
        <v>0.18065481656904286</v>
      </c>
      <c r="C34" s="12">
        <f t="shared" si="8"/>
        <v>0.18081824196507665</v>
      </c>
      <c r="D34" s="12">
        <f t="shared" si="0"/>
        <v>1.6342539603378392E-4</v>
      </c>
      <c r="E34" s="12">
        <f t="shared" si="1"/>
        <v>0.18071723951570287</v>
      </c>
      <c r="F34" s="12">
        <f t="shared" si="2"/>
        <v>0.18075581901841664</v>
      </c>
      <c r="G34" s="12">
        <f t="shared" si="3"/>
        <v>28.637443561212159</v>
      </c>
      <c r="H34" s="12">
        <f t="shared" si="4"/>
        <v>28.637443554236206</v>
      </c>
      <c r="I34" s="4" t="str">
        <f t="shared" si="5"/>
        <v>right: a = x1</v>
      </c>
      <c r="J34" s="4" t="str">
        <f t="shared" si="6"/>
        <v>no</v>
      </c>
    </row>
    <row r="35" spans="1:10" x14ac:dyDescent="0.35">
      <c r="A35" s="4">
        <v>22</v>
      </c>
      <c r="B35" s="12">
        <f t="shared" si="7"/>
        <v>0.18071723951570287</v>
      </c>
      <c r="C35" s="12">
        <f t="shared" si="8"/>
        <v>0.18081824196507665</v>
      </c>
      <c r="D35" s="12">
        <f t="shared" si="0"/>
        <v>1.0100244937377711E-4</v>
      </c>
      <c r="E35" s="12">
        <f t="shared" si="1"/>
        <v>0.18075581901841667</v>
      </c>
      <c r="F35" s="12">
        <f t="shared" si="2"/>
        <v>0.18077966246236285</v>
      </c>
      <c r="G35" s="12">
        <f t="shared" si="3"/>
        <v>28.637443554236206</v>
      </c>
      <c r="H35" s="12">
        <f t="shared" si="4"/>
        <v>28.637443566588761</v>
      </c>
      <c r="I35" s="4" t="str">
        <f t="shared" si="5"/>
        <v>left: b = x2</v>
      </c>
      <c r="J35" s="4" t="str">
        <f t="shared" si="6"/>
        <v>no</v>
      </c>
    </row>
    <row r="36" spans="1:10" x14ac:dyDescent="0.35">
      <c r="A36" s="4">
        <v>23</v>
      </c>
      <c r="B36" s="12">
        <f t="shared" si="7"/>
        <v>0.18071723951570287</v>
      </c>
      <c r="C36" s="12">
        <f t="shared" si="8"/>
        <v>0.18077966246236285</v>
      </c>
      <c r="D36" s="12">
        <f t="shared" si="0"/>
        <v>6.2422946659979051E-5</v>
      </c>
      <c r="E36" s="12">
        <f t="shared" si="1"/>
        <v>0.18074108295964905</v>
      </c>
      <c r="F36" s="12">
        <f t="shared" si="2"/>
        <v>0.18075581901841667</v>
      </c>
      <c r="G36" s="12">
        <f t="shared" si="3"/>
        <v>28.637443552966975</v>
      </c>
      <c r="H36" s="12">
        <f t="shared" si="4"/>
        <v>28.637443554236206</v>
      </c>
      <c r="I36" s="4" t="str">
        <f t="shared" si="5"/>
        <v>left: b = x2</v>
      </c>
      <c r="J36" s="4" t="str">
        <f t="shared" si="6"/>
        <v>no</v>
      </c>
    </row>
    <row r="37" spans="1:10" x14ac:dyDescent="0.35">
      <c r="A37" s="4">
        <v>24</v>
      </c>
      <c r="B37" s="12">
        <f t="shared" si="7"/>
        <v>0.18071723951570287</v>
      </c>
      <c r="C37" s="12">
        <f t="shared" si="8"/>
        <v>0.18075581901841667</v>
      </c>
      <c r="D37" s="12">
        <f t="shared" si="0"/>
        <v>3.8579502713798064E-5</v>
      </c>
      <c r="E37" s="12">
        <f t="shared" si="1"/>
        <v>0.18073197557447046</v>
      </c>
      <c r="F37" s="12">
        <f t="shared" si="2"/>
        <v>0.18074108295964908</v>
      </c>
      <c r="G37" s="12">
        <f t="shared" si="3"/>
        <v>28.637443554613775</v>
      </c>
      <c r="H37" s="12">
        <f t="shared" si="4"/>
        <v>28.637443552966975</v>
      </c>
      <c r="I37" s="4" t="str">
        <f t="shared" si="5"/>
        <v>right: a = x1</v>
      </c>
      <c r="J37" s="4" t="str">
        <f t="shared" si="6"/>
        <v>no</v>
      </c>
    </row>
    <row r="38" spans="1:10" x14ac:dyDescent="0.35">
      <c r="A38" s="4">
        <v>25</v>
      </c>
      <c r="B38" s="12">
        <f t="shared" si="7"/>
        <v>0.18073197557447046</v>
      </c>
      <c r="C38" s="12">
        <f t="shared" si="8"/>
        <v>0.18075581901841667</v>
      </c>
      <c r="D38" s="12">
        <f t="shared" si="0"/>
        <v>2.3843443946208742E-5</v>
      </c>
      <c r="E38" s="12">
        <f t="shared" si="1"/>
        <v>0.18074108295964905</v>
      </c>
      <c r="F38" s="12">
        <f t="shared" si="2"/>
        <v>0.18074671163323808</v>
      </c>
      <c r="G38" s="12">
        <f t="shared" si="3"/>
        <v>28.637443552966975</v>
      </c>
      <c r="H38" s="12">
        <f t="shared" si="4"/>
        <v>28.637443552877841</v>
      </c>
      <c r="I38" s="4" t="str">
        <f t="shared" si="5"/>
        <v>right: a = x1</v>
      </c>
      <c r="J38" s="4" t="str">
        <f t="shared" si="6"/>
        <v>no</v>
      </c>
    </row>
    <row r="39" spans="1:10" x14ac:dyDescent="0.35">
      <c r="A39" s="4">
        <v>26</v>
      </c>
      <c r="B39" s="12">
        <f t="shared" si="7"/>
        <v>0.18074108295964905</v>
      </c>
      <c r="C39" s="12">
        <f t="shared" si="8"/>
        <v>0.18075581901841667</v>
      </c>
      <c r="D39" s="12">
        <f t="shared" si="0"/>
        <v>1.4736058767617077E-5</v>
      </c>
      <c r="E39" s="12">
        <f t="shared" si="1"/>
        <v>0.18074671163323808</v>
      </c>
      <c r="F39" s="12">
        <f t="shared" si="2"/>
        <v>0.18075019034482764</v>
      </c>
      <c r="G39" s="12">
        <f t="shared" si="3"/>
        <v>28.637443552877841</v>
      </c>
      <c r="H39" s="12">
        <f t="shared" si="4"/>
        <v>28.637443553177466</v>
      </c>
      <c r="I39" s="4" t="str">
        <f t="shared" si="5"/>
        <v>left: b = x2</v>
      </c>
      <c r="J39" s="4" t="str">
        <f t="shared" si="6"/>
        <v>no</v>
      </c>
    </row>
    <row r="40" spans="1:10" x14ac:dyDescent="0.35">
      <c r="A40" s="4">
        <v>27</v>
      </c>
      <c r="B40" s="12">
        <f t="shared" si="7"/>
        <v>0.18074108295964905</v>
      </c>
      <c r="C40" s="12">
        <f t="shared" si="8"/>
        <v>0.18075019034482764</v>
      </c>
      <c r="D40" s="12">
        <f t="shared" si="0"/>
        <v>9.1073851785916649E-6</v>
      </c>
      <c r="E40" s="12">
        <f t="shared" si="1"/>
        <v>0.18074456167123865</v>
      </c>
      <c r="F40" s="12">
        <f t="shared" si="2"/>
        <v>0.18074671163323805</v>
      </c>
      <c r="G40" s="12">
        <f t="shared" si="3"/>
        <v>28.637443552828152</v>
      </c>
      <c r="H40" s="12">
        <f t="shared" si="4"/>
        <v>28.637443552877844</v>
      </c>
      <c r="I40" s="4" t="str">
        <f t="shared" si="5"/>
        <v>left: b = x2</v>
      </c>
      <c r="J40" s="4" t="str">
        <f t="shared" si="6"/>
        <v>no</v>
      </c>
    </row>
    <row r="41" spans="1:10" x14ac:dyDescent="0.35">
      <c r="A41" s="4">
        <v>28</v>
      </c>
      <c r="B41" s="12">
        <f t="shared" si="7"/>
        <v>0.18074108295964905</v>
      </c>
      <c r="C41" s="12">
        <f t="shared" si="8"/>
        <v>0.18074671163323805</v>
      </c>
      <c r="D41" s="12">
        <f t="shared" si="0"/>
        <v>5.6286735889976569E-6</v>
      </c>
      <c r="E41" s="12">
        <f t="shared" si="1"/>
        <v>0.18074323292164848</v>
      </c>
      <c r="F41" s="12">
        <f t="shared" si="2"/>
        <v>0.18074456167123862</v>
      </c>
      <c r="G41" s="12">
        <f t="shared" si="3"/>
        <v>28.637443552849195</v>
      </c>
      <c r="H41" s="12">
        <f t="shared" si="4"/>
        <v>28.637443552828152</v>
      </c>
      <c r="I41" s="4" t="str">
        <f t="shared" si="5"/>
        <v>right: a = x1</v>
      </c>
      <c r="J41" s="4" t="str">
        <f t="shared" si="6"/>
        <v>no</v>
      </c>
    </row>
    <row r="42" spans="1:10" x14ac:dyDescent="0.35">
      <c r="A42" s="4">
        <v>29</v>
      </c>
      <c r="B42" s="12">
        <f t="shared" si="7"/>
        <v>0.18074323292164848</v>
      </c>
      <c r="C42" s="12">
        <f t="shared" si="8"/>
        <v>0.18074671163323805</v>
      </c>
      <c r="D42" s="12">
        <f t="shared" si="0"/>
        <v>3.4787115895662524E-6</v>
      </c>
      <c r="E42" s="12">
        <f t="shared" si="1"/>
        <v>0.18074456167123865</v>
      </c>
      <c r="F42" s="12">
        <f t="shared" si="2"/>
        <v>0.18074538288364789</v>
      </c>
      <c r="G42" s="12">
        <f t="shared" si="3"/>
        <v>28.637443552828152</v>
      </c>
      <c r="H42" s="12">
        <f t="shared" si="4"/>
        <v>28.637443552834917</v>
      </c>
      <c r="I42" s="4" t="str">
        <f t="shared" si="5"/>
        <v>left: b = x2</v>
      </c>
      <c r="J42" s="4" t="str">
        <f t="shared" si="6"/>
        <v>no</v>
      </c>
    </row>
    <row r="43" spans="1:10" x14ac:dyDescent="0.35">
      <c r="A43" s="4">
        <v>30</v>
      </c>
      <c r="B43" s="12">
        <f t="shared" si="7"/>
        <v>0.18074323292164848</v>
      </c>
      <c r="C43" s="12">
        <f t="shared" si="8"/>
        <v>0.18074538288364789</v>
      </c>
      <c r="D43" s="12">
        <f t="shared" si="0"/>
        <v>2.149961999403649E-6</v>
      </c>
      <c r="E43" s="12">
        <f t="shared" si="1"/>
        <v>0.18074405413405772</v>
      </c>
      <c r="F43" s="12">
        <f t="shared" si="2"/>
        <v>0.18074456167123865</v>
      </c>
      <c r="G43" s="12">
        <f t="shared" si="3"/>
        <v>28.637443552831524</v>
      </c>
      <c r="H43" s="12">
        <f t="shared" si="4"/>
        <v>28.637443552828152</v>
      </c>
      <c r="I43" s="4" t="str">
        <f t="shared" si="5"/>
        <v>right: a = x1</v>
      </c>
      <c r="J43" s="4" t="str">
        <f t="shared" si="6"/>
        <v>no</v>
      </c>
    </row>
    <row r="44" spans="1:10" x14ac:dyDescent="0.35">
      <c r="A44" s="4">
        <v>31</v>
      </c>
      <c r="B44" s="12">
        <f t="shared" si="7"/>
        <v>0.18074405413405772</v>
      </c>
      <c r="C44" s="12">
        <f t="shared" si="8"/>
        <v>0.18074538288364789</v>
      </c>
      <c r="D44" s="12">
        <f t="shared" si="0"/>
        <v>1.3287495901626034E-6</v>
      </c>
      <c r="E44" s="12">
        <f t="shared" si="1"/>
        <v>0.18074456167123862</v>
      </c>
      <c r="F44" s="12">
        <f t="shared" si="2"/>
        <v>0.18074487534646699</v>
      </c>
      <c r="G44" s="12">
        <f t="shared" si="3"/>
        <v>28.637443552828152</v>
      </c>
      <c r="H44" s="12">
        <f t="shared" si="4"/>
        <v>28.637443552828948</v>
      </c>
      <c r="I44" s="4" t="str">
        <f t="shared" si="5"/>
        <v>left: b = x2</v>
      </c>
      <c r="J44" s="4" t="str">
        <f t="shared" si="6"/>
        <v>no</v>
      </c>
    </row>
    <row r="45" spans="1:10" x14ac:dyDescent="0.35">
      <c r="A45" s="4">
        <v>32</v>
      </c>
      <c r="B45" s="12">
        <f t="shared" si="7"/>
        <v>0.18074405413405772</v>
      </c>
      <c r="C45" s="12">
        <f t="shared" si="8"/>
        <v>0.18074487534646699</v>
      </c>
      <c r="D45" s="12">
        <f t="shared" ref="D45:D62" si="9">C45-B45</f>
        <v>8.2121240926880112E-7</v>
      </c>
      <c r="E45" s="12">
        <f t="shared" ref="E45:E62" si="10">B45+$F$4*(C45-B45)</f>
        <v>0.18074436780928607</v>
      </c>
      <c r="F45" s="12">
        <f t="shared" ref="F45:F62" si="11">C45-$F$4*(C45-B45)</f>
        <v>0.18074456167123865</v>
      </c>
      <c r="G45" s="12">
        <f t="shared" ref="G45:G62" si="12">(E45-$B$3)^2+($B$5*E45^2+$B$6*E45+$B$7-$B$4)^2</f>
        <v>28.63744355282876</v>
      </c>
      <c r="H45" s="12">
        <f t="shared" ref="H45:H62" si="13">(F45-$B$3)^2+($B$5*F45^2+$B$6*F45+$B$7-$B$4)^2</f>
        <v>28.637443552828152</v>
      </c>
      <c r="I45" s="4" t="str">
        <f t="shared" ref="I45:I62" si="14">IF(J45="yes","-",IF(G45&lt;H45,"left: b = x2","right: a = x1"))</f>
        <v>right: a = x1</v>
      </c>
      <c r="J45" s="4" t="str">
        <f t="shared" ref="J45:J62" si="15">IF(D45&lt;$B$10,"yes","no")</f>
        <v>no</v>
      </c>
    </row>
    <row r="46" spans="1:10" x14ac:dyDescent="0.35">
      <c r="A46" s="4">
        <v>33</v>
      </c>
      <c r="B46" s="12">
        <f t="shared" ref="B46:B62" si="16">IF(J45="yes",B45,IF(G45&lt;H45,B45,E45))</f>
        <v>0.18074436780928607</v>
      </c>
      <c r="C46" s="12">
        <f t="shared" ref="C46:C62" si="17">IF(J45="yes",C45,IF(G45&lt;H45,F45,C45))</f>
        <v>0.18074487534646699</v>
      </c>
      <c r="D46" s="12">
        <f t="shared" si="9"/>
        <v>5.0753718092155786E-7</v>
      </c>
      <c r="E46" s="12">
        <f t="shared" si="10"/>
        <v>0.18074456167123862</v>
      </c>
      <c r="F46" s="12">
        <f t="shared" si="11"/>
        <v>0.18074468148451445</v>
      </c>
      <c r="G46" s="12">
        <f t="shared" si="12"/>
        <v>28.637443552828152</v>
      </c>
      <c r="H46" s="12">
        <f t="shared" si="13"/>
        <v>28.637443552828202</v>
      </c>
      <c r="I46" s="4" t="str">
        <f t="shared" si="14"/>
        <v>right: a = x1</v>
      </c>
      <c r="J46" s="4" t="str">
        <f t="shared" si="15"/>
        <v>no</v>
      </c>
    </row>
    <row r="47" spans="1:10" x14ac:dyDescent="0.35">
      <c r="A47" s="4">
        <v>34</v>
      </c>
      <c r="B47" s="12">
        <f t="shared" si="16"/>
        <v>0.18074456167123862</v>
      </c>
      <c r="C47" s="12">
        <f t="shared" si="17"/>
        <v>0.18074487534646699</v>
      </c>
      <c r="D47" s="12">
        <f t="shared" si="9"/>
        <v>3.1367522837499884E-7</v>
      </c>
      <c r="E47" s="12">
        <f t="shared" si="10"/>
        <v>0.18074468148451442</v>
      </c>
      <c r="F47" s="12">
        <f t="shared" si="11"/>
        <v>0.18074475553319119</v>
      </c>
      <c r="G47" s="12">
        <f t="shared" si="12"/>
        <v>28.637443552828202</v>
      </c>
      <c r="H47" s="12">
        <f t="shared" si="13"/>
        <v>28.637443552828383</v>
      </c>
      <c r="I47" s="4" t="str">
        <f t="shared" si="14"/>
        <v>left: b = x2</v>
      </c>
      <c r="J47" s="4" t="str">
        <f t="shared" si="15"/>
        <v>no</v>
      </c>
    </row>
    <row r="48" spans="1:10" x14ac:dyDescent="0.35">
      <c r="A48" s="4">
        <v>35</v>
      </c>
      <c r="B48" s="12">
        <f t="shared" si="16"/>
        <v>0.18074456167123862</v>
      </c>
      <c r="C48" s="12">
        <f t="shared" si="17"/>
        <v>0.18074475553319119</v>
      </c>
      <c r="D48" s="12">
        <f t="shared" si="9"/>
        <v>1.938619525743146E-7</v>
      </c>
      <c r="E48" s="12">
        <f t="shared" si="10"/>
        <v>0.18074463571991536</v>
      </c>
      <c r="F48" s="12">
        <f t="shared" si="11"/>
        <v>0.18074468148451445</v>
      </c>
      <c r="G48" s="12">
        <f t="shared" si="12"/>
        <v>28.637443552828145</v>
      </c>
      <c r="H48" s="12">
        <f t="shared" si="13"/>
        <v>28.637443552828202</v>
      </c>
      <c r="I48" s="4" t="str">
        <f t="shared" si="14"/>
        <v>left: b = x2</v>
      </c>
      <c r="J48" s="4" t="str">
        <f t="shared" si="15"/>
        <v>no</v>
      </c>
    </row>
    <row r="49" spans="1:10" x14ac:dyDescent="0.35">
      <c r="A49" s="4">
        <v>36</v>
      </c>
      <c r="B49" s="12">
        <f t="shared" si="16"/>
        <v>0.18074456167123862</v>
      </c>
      <c r="C49" s="12">
        <f t="shared" si="17"/>
        <v>0.18074468148451445</v>
      </c>
      <c r="D49" s="12">
        <f t="shared" si="9"/>
        <v>1.1981327582843981E-7</v>
      </c>
      <c r="E49" s="12">
        <f t="shared" si="10"/>
        <v>0.18074460743583767</v>
      </c>
      <c r="F49" s="12">
        <f t="shared" si="11"/>
        <v>0.18074463571991539</v>
      </c>
      <c r="G49" s="12">
        <f t="shared" si="12"/>
        <v>28.637443552828131</v>
      </c>
      <c r="H49" s="12">
        <f t="shared" si="13"/>
        <v>28.637443552828145</v>
      </c>
      <c r="I49" s="4" t="str">
        <f t="shared" si="14"/>
        <v>right: a = x1</v>
      </c>
      <c r="J49" s="4" t="str">
        <f t="shared" si="15"/>
        <v>no</v>
      </c>
    </row>
    <row r="50" spans="1:10" x14ac:dyDescent="0.35">
      <c r="A50" s="4">
        <v>37</v>
      </c>
      <c r="B50" s="12">
        <f t="shared" si="16"/>
        <v>0.18074460743583767</v>
      </c>
      <c r="C50" s="12">
        <f t="shared" si="17"/>
        <v>0.18074468148451445</v>
      </c>
      <c r="D50" s="12">
        <f t="shared" si="9"/>
        <v>7.4048676773630362E-8</v>
      </c>
      <c r="E50" s="12">
        <f t="shared" si="10"/>
        <v>0.18074463571991539</v>
      </c>
      <c r="F50" s="12">
        <f t="shared" si="11"/>
        <v>0.18074465320043673</v>
      </c>
      <c r="G50" s="12">
        <f t="shared" si="12"/>
        <v>28.637443552828145</v>
      </c>
      <c r="H50" s="12">
        <f t="shared" si="13"/>
        <v>28.637443552828156</v>
      </c>
      <c r="I50" s="4" t="str">
        <f t="shared" si="14"/>
        <v>-</v>
      </c>
      <c r="J50" s="4" t="str">
        <f t="shared" si="15"/>
        <v>yes</v>
      </c>
    </row>
    <row r="51" spans="1:10" x14ac:dyDescent="0.35">
      <c r="A51" s="4">
        <v>38</v>
      </c>
      <c r="B51" s="12">
        <f t="shared" si="16"/>
        <v>0.18074460743583767</v>
      </c>
      <c r="C51" s="12">
        <f t="shared" si="17"/>
        <v>0.18074468148451445</v>
      </c>
      <c r="D51" s="12">
        <f t="shared" si="9"/>
        <v>7.4048676773630362E-8</v>
      </c>
      <c r="E51" s="12">
        <f t="shared" si="10"/>
        <v>0.18074463571991539</v>
      </c>
      <c r="F51" s="12">
        <f t="shared" si="11"/>
        <v>0.18074465320043673</v>
      </c>
      <c r="G51" s="12">
        <f t="shared" si="12"/>
        <v>28.637443552828145</v>
      </c>
      <c r="H51" s="12">
        <f t="shared" si="13"/>
        <v>28.637443552828156</v>
      </c>
      <c r="I51" s="4" t="str">
        <f t="shared" si="14"/>
        <v>-</v>
      </c>
      <c r="J51" s="4" t="str">
        <f t="shared" si="15"/>
        <v>yes</v>
      </c>
    </row>
    <row r="52" spans="1:10" x14ac:dyDescent="0.35">
      <c r="A52" s="4">
        <v>39</v>
      </c>
      <c r="B52" s="12">
        <f t="shared" si="16"/>
        <v>0.18074460743583767</v>
      </c>
      <c r="C52" s="12">
        <f t="shared" si="17"/>
        <v>0.18074468148451445</v>
      </c>
      <c r="D52" s="12">
        <f t="shared" si="9"/>
        <v>7.4048676773630362E-8</v>
      </c>
      <c r="E52" s="12">
        <f t="shared" si="10"/>
        <v>0.18074463571991539</v>
      </c>
      <c r="F52" s="12">
        <f t="shared" si="11"/>
        <v>0.18074465320043673</v>
      </c>
      <c r="G52" s="12">
        <f t="shared" si="12"/>
        <v>28.637443552828145</v>
      </c>
      <c r="H52" s="12">
        <f t="shared" si="13"/>
        <v>28.637443552828156</v>
      </c>
      <c r="I52" s="4" t="str">
        <f t="shared" si="14"/>
        <v>-</v>
      </c>
      <c r="J52" s="4" t="str">
        <f t="shared" si="15"/>
        <v>yes</v>
      </c>
    </row>
    <row r="53" spans="1:10" x14ac:dyDescent="0.35">
      <c r="A53" s="4">
        <v>40</v>
      </c>
      <c r="B53" s="12">
        <f t="shared" si="16"/>
        <v>0.18074460743583767</v>
      </c>
      <c r="C53" s="12">
        <f t="shared" si="17"/>
        <v>0.18074468148451445</v>
      </c>
      <c r="D53" s="12">
        <f t="shared" si="9"/>
        <v>7.4048676773630362E-8</v>
      </c>
      <c r="E53" s="12">
        <f t="shared" si="10"/>
        <v>0.18074463571991539</v>
      </c>
      <c r="F53" s="12">
        <f t="shared" si="11"/>
        <v>0.18074465320043673</v>
      </c>
      <c r="G53" s="12">
        <f t="shared" si="12"/>
        <v>28.637443552828145</v>
      </c>
      <c r="H53" s="12">
        <f t="shared" si="13"/>
        <v>28.637443552828156</v>
      </c>
      <c r="I53" s="4" t="str">
        <f t="shared" si="14"/>
        <v>-</v>
      </c>
      <c r="J53" s="4" t="str">
        <f t="shared" si="15"/>
        <v>yes</v>
      </c>
    </row>
    <row r="54" spans="1:10" x14ac:dyDescent="0.35">
      <c r="A54" s="4">
        <v>41</v>
      </c>
      <c r="B54" s="12">
        <f t="shared" si="16"/>
        <v>0.18074460743583767</v>
      </c>
      <c r="C54" s="12">
        <f t="shared" si="17"/>
        <v>0.18074468148451445</v>
      </c>
      <c r="D54" s="12">
        <f t="shared" si="9"/>
        <v>7.4048676773630362E-8</v>
      </c>
      <c r="E54" s="12">
        <f t="shared" si="10"/>
        <v>0.18074463571991539</v>
      </c>
      <c r="F54" s="12">
        <f t="shared" si="11"/>
        <v>0.18074465320043673</v>
      </c>
      <c r="G54" s="12">
        <f t="shared" si="12"/>
        <v>28.637443552828145</v>
      </c>
      <c r="H54" s="12">
        <f t="shared" si="13"/>
        <v>28.637443552828156</v>
      </c>
      <c r="I54" s="4" t="str">
        <f t="shared" si="14"/>
        <v>-</v>
      </c>
      <c r="J54" s="4" t="str">
        <f t="shared" si="15"/>
        <v>yes</v>
      </c>
    </row>
    <row r="55" spans="1:10" x14ac:dyDescent="0.35">
      <c r="A55" s="4">
        <v>42</v>
      </c>
      <c r="B55" s="12">
        <f t="shared" si="16"/>
        <v>0.18074460743583767</v>
      </c>
      <c r="C55" s="12">
        <f t="shared" si="17"/>
        <v>0.18074468148451445</v>
      </c>
      <c r="D55" s="12">
        <f t="shared" si="9"/>
        <v>7.4048676773630362E-8</v>
      </c>
      <c r="E55" s="12">
        <f t="shared" si="10"/>
        <v>0.18074463571991539</v>
      </c>
      <c r="F55" s="12">
        <f t="shared" si="11"/>
        <v>0.18074465320043673</v>
      </c>
      <c r="G55" s="12">
        <f t="shared" si="12"/>
        <v>28.637443552828145</v>
      </c>
      <c r="H55" s="12">
        <f t="shared" si="13"/>
        <v>28.637443552828156</v>
      </c>
      <c r="I55" s="4" t="str">
        <f t="shared" si="14"/>
        <v>-</v>
      </c>
      <c r="J55" s="4" t="str">
        <f t="shared" si="15"/>
        <v>yes</v>
      </c>
    </row>
    <row r="56" spans="1:10" x14ac:dyDescent="0.35">
      <c r="A56" s="4">
        <v>43</v>
      </c>
      <c r="B56" s="12">
        <f t="shared" si="16"/>
        <v>0.18074460743583767</v>
      </c>
      <c r="C56" s="12">
        <f t="shared" si="17"/>
        <v>0.18074468148451445</v>
      </c>
      <c r="D56" s="12">
        <f t="shared" si="9"/>
        <v>7.4048676773630362E-8</v>
      </c>
      <c r="E56" s="12">
        <f t="shared" si="10"/>
        <v>0.18074463571991539</v>
      </c>
      <c r="F56" s="12">
        <f t="shared" si="11"/>
        <v>0.18074465320043673</v>
      </c>
      <c r="G56" s="12">
        <f t="shared" si="12"/>
        <v>28.637443552828145</v>
      </c>
      <c r="H56" s="12">
        <f t="shared" si="13"/>
        <v>28.637443552828156</v>
      </c>
      <c r="I56" s="4" t="str">
        <f t="shared" si="14"/>
        <v>-</v>
      </c>
      <c r="J56" s="4" t="str">
        <f t="shared" si="15"/>
        <v>yes</v>
      </c>
    </row>
    <row r="57" spans="1:10" x14ac:dyDescent="0.35">
      <c r="A57" s="4">
        <v>44</v>
      </c>
      <c r="B57" s="12">
        <f t="shared" si="16"/>
        <v>0.18074460743583767</v>
      </c>
      <c r="C57" s="12">
        <f t="shared" si="17"/>
        <v>0.18074468148451445</v>
      </c>
      <c r="D57" s="12">
        <f t="shared" si="9"/>
        <v>7.4048676773630362E-8</v>
      </c>
      <c r="E57" s="12">
        <f t="shared" si="10"/>
        <v>0.18074463571991539</v>
      </c>
      <c r="F57" s="12">
        <f t="shared" si="11"/>
        <v>0.18074465320043673</v>
      </c>
      <c r="G57" s="12">
        <f t="shared" si="12"/>
        <v>28.637443552828145</v>
      </c>
      <c r="H57" s="12">
        <f t="shared" si="13"/>
        <v>28.637443552828156</v>
      </c>
      <c r="I57" s="4" t="str">
        <f t="shared" si="14"/>
        <v>-</v>
      </c>
      <c r="J57" s="4" t="str">
        <f t="shared" si="15"/>
        <v>yes</v>
      </c>
    </row>
    <row r="58" spans="1:10" x14ac:dyDescent="0.35">
      <c r="A58" s="4">
        <v>45</v>
      </c>
      <c r="B58" s="12">
        <f t="shared" si="16"/>
        <v>0.18074460743583767</v>
      </c>
      <c r="C58" s="12">
        <f t="shared" si="17"/>
        <v>0.18074468148451445</v>
      </c>
      <c r="D58" s="12">
        <f t="shared" si="9"/>
        <v>7.4048676773630362E-8</v>
      </c>
      <c r="E58" s="12">
        <f t="shared" si="10"/>
        <v>0.18074463571991539</v>
      </c>
      <c r="F58" s="12">
        <f t="shared" si="11"/>
        <v>0.18074465320043673</v>
      </c>
      <c r="G58" s="12">
        <f t="shared" si="12"/>
        <v>28.637443552828145</v>
      </c>
      <c r="H58" s="12">
        <f t="shared" si="13"/>
        <v>28.637443552828156</v>
      </c>
      <c r="I58" s="4" t="str">
        <f t="shared" si="14"/>
        <v>-</v>
      </c>
      <c r="J58" s="4" t="str">
        <f t="shared" si="15"/>
        <v>yes</v>
      </c>
    </row>
    <row r="59" spans="1:10" x14ac:dyDescent="0.35">
      <c r="A59" s="4">
        <v>46</v>
      </c>
      <c r="B59" s="12">
        <f t="shared" si="16"/>
        <v>0.18074460743583767</v>
      </c>
      <c r="C59" s="12">
        <f t="shared" si="17"/>
        <v>0.18074468148451445</v>
      </c>
      <c r="D59" s="12">
        <f t="shared" si="9"/>
        <v>7.4048676773630362E-8</v>
      </c>
      <c r="E59" s="12">
        <f t="shared" si="10"/>
        <v>0.18074463571991539</v>
      </c>
      <c r="F59" s="12">
        <f t="shared" si="11"/>
        <v>0.18074465320043673</v>
      </c>
      <c r="G59" s="12">
        <f t="shared" si="12"/>
        <v>28.637443552828145</v>
      </c>
      <c r="H59" s="12">
        <f t="shared" si="13"/>
        <v>28.637443552828156</v>
      </c>
      <c r="I59" s="4" t="str">
        <f t="shared" si="14"/>
        <v>-</v>
      </c>
      <c r="J59" s="4" t="str">
        <f t="shared" si="15"/>
        <v>yes</v>
      </c>
    </row>
    <row r="60" spans="1:10" x14ac:dyDescent="0.35">
      <c r="A60" s="4">
        <v>47</v>
      </c>
      <c r="B60" s="12">
        <f t="shared" si="16"/>
        <v>0.18074460743583767</v>
      </c>
      <c r="C60" s="12">
        <f t="shared" si="17"/>
        <v>0.18074468148451445</v>
      </c>
      <c r="D60" s="12">
        <f t="shared" si="9"/>
        <v>7.4048676773630362E-8</v>
      </c>
      <c r="E60" s="12">
        <f t="shared" si="10"/>
        <v>0.18074463571991539</v>
      </c>
      <c r="F60" s="12">
        <f t="shared" si="11"/>
        <v>0.18074465320043673</v>
      </c>
      <c r="G60" s="12">
        <f t="shared" si="12"/>
        <v>28.637443552828145</v>
      </c>
      <c r="H60" s="12">
        <f t="shared" si="13"/>
        <v>28.637443552828156</v>
      </c>
      <c r="I60" s="4" t="str">
        <f t="shared" si="14"/>
        <v>-</v>
      </c>
      <c r="J60" s="4" t="str">
        <f t="shared" si="15"/>
        <v>yes</v>
      </c>
    </row>
    <row r="61" spans="1:10" x14ac:dyDescent="0.35">
      <c r="A61" s="4">
        <v>48</v>
      </c>
      <c r="B61" s="12">
        <f t="shared" si="16"/>
        <v>0.18074460743583767</v>
      </c>
      <c r="C61" s="12">
        <f t="shared" si="17"/>
        <v>0.18074468148451445</v>
      </c>
      <c r="D61" s="12">
        <f t="shared" si="9"/>
        <v>7.4048676773630362E-8</v>
      </c>
      <c r="E61" s="12">
        <f t="shared" si="10"/>
        <v>0.18074463571991539</v>
      </c>
      <c r="F61" s="12">
        <f t="shared" si="11"/>
        <v>0.18074465320043673</v>
      </c>
      <c r="G61" s="12">
        <f t="shared" si="12"/>
        <v>28.637443552828145</v>
      </c>
      <c r="H61" s="12">
        <f t="shared" si="13"/>
        <v>28.637443552828156</v>
      </c>
      <c r="I61" s="4" t="str">
        <f t="shared" si="14"/>
        <v>-</v>
      </c>
      <c r="J61" s="4" t="str">
        <f t="shared" si="15"/>
        <v>yes</v>
      </c>
    </row>
    <row r="62" spans="1:10" x14ac:dyDescent="0.35">
      <c r="A62" s="4">
        <v>49</v>
      </c>
      <c r="B62" s="12">
        <f t="shared" si="16"/>
        <v>0.18074460743583767</v>
      </c>
      <c r="C62" s="12">
        <f t="shared" si="17"/>
        <v>0.18074468148451445</v>
      </c>
      <c r="D62" s="12">
        <f t="shared" si="9"/>
        <v>7.4048676773630362E-8</v>
      </c>
      <c r="E62" s="12">
        <f t="shared" si="10"/>
        <v>0.18074463571991539</v>
      </c>
      <c r="F62" s="12">
        <f t="shared" si="11"/>
        <v>0.18074465320043673</v>
      </c>
      <c r="G62" s="12">
        <f t="shared" si="12"/>
        <v>28.637443552828145</v>
      </c>
      <c r="H62" s="12">
        <f t="shared" si="13"/>
        <v>28.637443552828156</v>
      </c>
      <c r="I62" s="4" t="str">
        <f t="shared" si="14"/>
        <v>-</v>
      </c>
      <c r="J62" s="4" t="str">
        <f t="shared" si="15"/>
        <v>yes</v>
      </c>
    </row>
    <row r="63" spans="1:10" x14ac:dyDescent="0.35">
      <c r="A6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3"/>
  <sheetViews>
    <sheetView zoomScaleNormal="100" workbookViewId="0">
      <pane ySplit="12" topLeftCell="A13" activePane="bottomLeft" state="frozen"/>
      <selection pane="bottomLeft" activeCell="G9" sqref="G9"/>
    </sheetView>
  </sheetViews>
  <sheetFormatPr defaultColWidth="8.6328125" defaultRowHeight="14.5" x14ac:dyDescent="0.35"/>
  <cols>
    <col min="1" max="1" width="22" customWidth="1"/>
    <col min="2" max="3" width="14" customWidth="1"/>
    <col min="4" max="4" width="12" customWidth="1"/>
    <col min="5" max="6" width="18" customWidth="1"/>
    <col min="7" max="8" width="13" customWidth="1"/>
    <col min="9" max="9" width="15" customWidth="1"/>
    <col min="10" max="10" width="10" customWidth="1"/>
  </cols>
  <sheetData>
    <row r="1" spans="1:10" ht="16.5" x14ac:dyDescent="0.35">
      <c r="A1" s="1" t="s">
        <v>41</v>
      </c>
    </row>
    <row r="3" spans="1:10" x14ac:dyDescent="0.35">
      <c r="A3" s="6" t="s">
        <v>16</v>
      </c>
      <c r="B3" s="7">
        <v>6</v>
      </c>
      <c r="C3" s="2"/>
      <c r="E3" s="6" t="s">
        <v>17</v>
      </c>
      <c r="F3" s="8">
        <f>(1+SQRT(5))/2</f>
        <v>1.6180339887498949</v>
      </c>
    </row>
    <row r="4" spans="1:10" x14ac:dyDescent="0.35">
      <c r="A4" s="6" t="s">
        <v>18</v>
      </c>
      <c r="B4" s="7">
        <v>0</v>
      </c>
      <c r="C4" s="2"/>
      <c r="E4" s="6" t="s">
        <v>19</v>
      </c>
      <c r="F4" s="8">
        <f>2-F3</f>
        <v>0.3819660112501051</v>
      </c>
    </row>
    <row r="5" spans="1:10" x14ac:dyDescent="0.35">
      <c r="A5" s="6" t="s">
        <v>20</v>
      </c>
      <c r="B5" s="7">
        <v>1</v>
      </c>
      <c r="C5" s="2"/>
      <c r="E5" s="9" t="s">
        <v>21</v>
      </c>
      <c r="F5" s="10">
        <f>(B62+C62)/2</f>
        <v>0.5199037464563232</v>
      </c>
    </row>
    <row r="6" spans="1:10" x14ac:dyDescent="0.35">
      <c r="A6" s="6" t="s">
        <v>22</v>
      </c>
      <c r="B6" s="7">
        <v>0</v>
      </c>
      <c r="C6" s="2"/>
      <c r="E6" s="9" t="s">
        <v>23</v>
      </c>
      <c r="F6" s="10">
        <f>SQRT((F5-$B$3)^2+($B$5*F5^2+$B$6*F5+$B$7-$B$4)^2)</f>
        <v>7.603125412805765</v>
      </c>
    </row>
    <row r="7" spans="1:10" x14ac:dyDescent="0.35">
      <c r="A7" s="6" t="s">
        <v>24</v>
      </c>
      <c r="B7" s="7">
        <v>5</v>
      </c>
      <c r="C7" s="2"/>
      <c r="E7" s="9" t="s">
        <v>6</v>
      </c>
      <c r="F7" s="9">
        <f>COUNTIF(J13:J62,"no")</f>
        <v>37</v>
      </c>
    </row>
    <row r="8" spans="1:10" x14ac:dyDescent="0.35">
      <c r="A8" s="6" t="s">
        <v>25</v>
      </c>
      <c r="B8" s="7">
        <v>-2</v>
      </c>
      <c r="C8" s="2"/>
    </row>
    <row r="9" spans="1:10" x14ac:dyDescent="0.35">
      <c r="A9" s="6" t="s">
        <v>26</v>
      </c>
      <c r="B9" s="7">
        <v>2</v>
      </c>
      <c r="C9" s="2"/>
    </row>
    <row r="10" spans="1:10" x14ac:dyDescent="0.35">
      <c r="A10" s="6" t="s">
        <v>27</v>
      </c>
      <c r="B10" s="11">
        <v>9.9999999999999995E-8</v>
      </c>
      <c r="C10" s="2"/>
    </row>
    <row r="12" spans="1:10" x14ac:dyDescent="0.35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</row>
    <row r="13" spans="1:10" x14ac:dyDescent="0.35">
      <c r="A13" s="4">
        <v>0</v>
      </c>
      <c r="B13" s="12">
        <f>$B$8</f>
        <v>-2</v>
      </c>
      <c r="C13" s="12">
        <f>$B$9</f>
        <v>2</v>
      </c>
      <c r="D13" s="12">
        <f t="shared" ref="D13:D44" si="0">C13-B13</f>
        <v>4</v>
      </c>
      <c r="E13" s="12">
        <f t="shared" ref="E13:E44" si="1">B13+$F$4*(C13-B13)</f>
        <v>-0.47213595499957961</v>
      </c>
      <c r="F13" s="12">
        <f t="shared" ref="F13:F44" si="2">C13-$F$4*(C13-B13)</f>
        <v>0.47213595499957961</v>
      </c>
      <c r="G13" s="12">
        <f t="shared" ref="G13:G44" si="3">(E13-$B$3)^2+($B$5*E13^2+$B$6*E13+$B$7-$B$4)^2</f>
        <v>69.167357340274236</v>
      </c>
      <c r="H13" s="12">
        <f t="shared" ref="H13:H44" si="4">(F13-$B$3)^2+($B$5*F13^2+$B$6*F13+$B$7-$B$4)^2</f>
        <v>57.836094420284326</v>
      </c>
      <c r="I13" s="4" t="str">
        <f t="shared" ref="I13:I44" si="5">IF(J13="yes","-",IF(G13&lt;H13,"left: b = x2","right: a = x1"))</f>
        <v>right: a = x1</v>
      </c>
      <c r="J13" s="4" t="str">
        <f t="shared" ref="J13:J44" si="6">IF(D13&lt;$B$10,"yes","no")</f>
        <v>no</v>
      </c>
    </row>
    <row r="14" spans="1:10" x14ac:dyDescent="0.35">
      <c r="A14" s="4">
        <v>1</v>
      </c>
      <c r="B14" s="12">
        <f t="shared" ref="B14:B45" si="7">IF(J13="yes",B13,IF(G13&lt;H13,B13,E13))</f>
        <v>-0.47213595499957961</v>
      </c>
      <c r="C14" s="12">
        <f t="shared" ref="C14:C45" si="8">IF(J13="yes",C13,IF(G13&lt;H13,F13,C13))</f>
        <v>2</v>
      </c>
      <c r="D14" s="12">
        <f t="shared" si="0"/>
        <v>2.4721359549995796</v>
      </c>
      <c r="E14" s="12">
        <f t="shared" si="1"/>
        <v>0.47213595499957917</v>
      </c>
      <c r="F14" s="12">
        <f t="shared" si="2"/>
        <v>1.0557280900008412</v>
      </c>
      <c r="G14" s="12">
        <f t="shared" si="3"/>
        <v>57.836094420284326</v>
      </c>
      <c r="H14" s="12">
        <f t="shared" si="4"/>
        <v>61.833690726231723</v>
      </c>
      <c r="I14" s="4" t="str">
        <f t="shared" si="5"/>
        <v>left: b = x2</v>
      </c>
      <c r="J14" s="4" t="str">
        <f t="shared" si="6"/>
        <v>no</v>
      </c>
    </row>
    <row r="15" spans="1:10" x14ac:dyDescent="0.35">
      <c r="A15" s="4">
        <v>2</v>
      </c>
      <c r="B15" s="12">
        <f t="shared" si="7"/>
        <v>-0.47213595499957961</v>
      </c>
      <c r="C15" s="12">
        <f t="shared" si="8"/>
        <v>1.0557280900008412</v>
      </c>
      <c r="D15" s="12">
        <f t="shared" si="0"/>
        <v>1.5278640450004208</v>
      </c>
      <c r="E15" s="12">
        <f t="shared" si="1"/>
        <v>0.11145618000168223</v>
      </c>
      <c r="F15" s="12">
        <f t="shared" si="2"/>
        <v>0.47213595499957939</v>
      </c>
      <c r="G15" s="12">
        <f t="shared" si="3"/>
        <v>59.799327438656903</v>
      </c>
      <c r="H15" s="12">
        <f t="shared" si="4"/>
        <v>57.836094420284326</v>
      </c>
      <c r="I15" s="4" t="str">
        <f t="shared" si="5"/>
        <v>right: a = x1</v>
      </c>
      <c r="J15" s="4" t="str">
        <f t="shared" si="6"/>
        <v>no</v>
      </c>
    </row>
    <row r="16" spans="1:10" x14ac:dyDescent="0.35">
      <c r="A16" s="4">
        <v>3</v>
      </c>
      <c r="B16" s="12">
        <f t="shared" si="7"/>
        <v>0.11145618000168223</v>
      </c>
      <c r="C16" s="12">
        <f t="shared" si="8"/>
        <v>1.0557280900008412</v>
      </c>
      <c r="D16" s="12">
        <f t="shared" si="0"/>
        <v>0.944271909999159</v>
      </c>
      <c r="E16" s="12">
        <f t="shared" si="1"/>
        <v>0.47213595499957922</v>
      </c>
      <c r="F16" s="12">
        <f t="shared" si="2"/>
        <v>0.69504831500294428</v>
      </c>
      <c r="G16" s="12">
        <f t="shared" si="3"/>
        <v>57.836094420284326</v>
      </c>
      <c r="H16" s="12">
        <f t="shared" si="4"/>
        <v>58.206812017272945</v>
      </c>
      <c r="I16" s="4" t="str">
        <f t="shared" si="5"/>
        <v>left: b = x2</v>
      </c>
      <c r="J16" s="4" t="str">
        <f t="shared" si="6"/>
        <v>no</v>
      </c>
    </row>
    <row r="17" spans="1:10" x14ac:dyDescent="0.35">
      <c r="A17" s="4">
        <v>4</v>
      </c>
      <c r="B17" s="12">
        <f t="shared" si="7"/>
        <v>0.11145618000168223</v>
      </c>
      <c r="C17" s="12">
        <f t="shared" si="8"/>
        <v>0.69504831500294428</v>
      </c>
      <c r="D17" s="12">
        <f t="shared" si="0"/>
        <v>0.58359213500126206</v>
      </c>
      <c r="E17" s="12">
        <f t="shared" si="1"/>
        <v>0.33436854000504712</v>
      </c>
      <c r="F17" s="12">
        <f t="shared" si="2"/>
        <v>0.47213595499957939</v>
      </c>
      <c r="G17" s="12">
        <f t="shared" si="3"/>
        <v>58.229902804814877</v>
      </c>
      <c r="H17" s="12">
        <f t="shared" si="4"/>
        <v>57.836094420284326</v>
      </c>
      <c r="I17" s="4" t="str">
        <f t="shared" si="5"/>
        <v>right: a = x1</v>
      </c>
      <c r="J17" s="4" t="str">
        <f t="shared" si="6"/>
        <v>no</v>
      </c>
    </row>
    <row r="18" spans="1:10" x14ac:dyDescent="0.35">
      <c r="A18" s="4">
        <v>5</v>
      </c>
      <c r="B18" s="12">
        <f t="shared" si="7"/>
        <v>0.33436854000504712</v>
      </c>
      <c r="C18" s="12">
        <f t="shared" si="8"/>
        <v>0.69504831500294428</v>
      </c>
      <c r="D18" s="12">
        <f t="shared" si="0"/>
        <v>0.36067977499789716</v>
      </c>
      <c r="E18" s="12">
        <f t="shared" si="1"/>
        <v>0.47213595499957928</v>
      </c>
      <c r="F18" s="12">
        <f t="shared" si="2"/>
        <v>0.55728090000841213</v>
      </c>
      <c r="G18" s="12">
        <f t="shared" si="3"/>
        <v>57.836094420284326</v>
      </c>
      <c r="H18" s="12">
        <f t="shared" si="4"/>
        <v>57.825259973339598</v>
      </c>
      <c r="I18" s="4" t="str">
        <f t="shared" si="5"/>
        <v>right: a = x1</v>
      </c>
      <c r="J18" s="4" t="str">
        <f t="shared" si="6"/>
        <v>no</v>
      </c>
    </row>
    <row r="19" spans="1:10" x14ac:dyDescent="0.35">
      <c r="A19" s="4">
        <v>6</v>
      </c>
      <c r="B19" s="12">
        <f t="shared" si="7"/>
        <v>0.47213595499957928</v>
      </c>
      <c r="C19" s="12">
        <f t="shared" si="8"/>
        <v>0.69504831500294428</v>
      </c>
      <c r="D19" s="12">
        <f t="shared" si="0"/>
        <v>0.22291236000336501</v>
      </c>
      <c r="E19" s="12">
        <f t="shared" si="1"/>
        <v>0.55728090000841202</v>
      </c>
      <c r="F19" s="12">
        <f t="shared" si="2"/>
        <v>0.60990336999411143</v>
      </c>
      <c r="G19" s="12">
        <f t="shared" si="3"/>
        <v>57.825259973339598</v>
      </c>
      <c r="H19" s="12">
        <f t="shared" si="4"/>
        <v>57.911333586245505</v>
      </c>
      <c r="I19" s="4" t="str">
        <f t="shared" si="5"/>
        <v>left: b = x2</v>
      </c>
      <c r="J19" s="4" t="str">
        <f t="shared" si="6"/>
        <v>no</v>
      </c>
    </row>
    <row r="20" spans="1:10" x14ac:dyDescent="0.35">
      <c r="A20" s="4">
        <v>7</v>
      </c>
      <c r="B20" s="12">
        <f t="shared" si="7"/>
        <v>0.47213595499957928</v>
      </c>
      <c r="C20" s="12">
        <f t="shared" si="8"/>
        <v>0.60990336999411143</v>
      </c>
      <c r="D20" s="12">
        <f t="shared" si="0"/>
        <v>0.13776741499453216</v>
      </c>
      <c r="E20" s="12">
        <f t="shared" si="1"/>
        <v>0.52475842498527869</v>
      </c>
      <c r="F20" s="12">
        <f t="shared" si="2"/>
        <v>0.55728090000841202</v>
      </c>
      <c r="G20" s="12">
        <f t="shared" si="3"/>
        <v>57.80781376116753</v>
      </c>
      <c r="H20" s="12">
        <f t="shared" si="4"/>
        <v>57.825259973339598</v>
      </c>
      <c r="I20" s="4" t="str">
        <f t="shared" si="5"/>
        <v>left: b = x2</v>
      </c>
      <c r="J20" s="4" t="str">
        <f t="shared" si="6"/>
        <v>no</v>
      </c>
    </row>
    <row r="21" spans="1:10" x14ac:dyDescent="0.35">
      <c r="A21" s="4">
        <v>8</v>
      </c>
      <c r="B21" s="12">
        <f t="shared" si="7"/>
        <v>0.47213595499957928</v>
      </c>
      <c r="C21" s="12">
        <f t="shared" si="8"/>
        <v>0.55728090000841202</v>
      </c>
      <c r="D21" s="12">
        <f t="shared" si="0"/>
        <v>8.514494500883274E-2</v>
      </c>
      <c r="E21" s="12">
        <f t="shared" si="1"/>
        <v>0.50465843002271271</v>
      </c>
      <c r="F21" s="12">
        <f t="shared" si="2"/>
        <v>0.52475842498527858</v>
      </c>
      <c r="G21" s="12">
        <f t="shared" si="3"/>
        <v>57.810442249772933</v>
      </c>
      <c r="H21" s="12">
        <f t="shared" si="4"/>
        <v>57.80781376116753</v>
      </c>
      <c r="I21" s="4" t="str">
        <f t="shared" si="5"/>
        <v>right: a = x1</v>
      </c>
      <c r="J21" s="4" t="str">
        <f t="shared" si="6"/>
        <v>no</v>
      </c>
    </row>
    <row r="22" spans="1:10" x14ac:dyDescent="0.35">
      <c r="A22" s="4">
        <v>9</v>
      </c>
      <c r="B22" s="12">
        <f t="shared" si="7"/>
        <v>0.50465843002271271</v>
      </c>
      <c r="C22" s="12">
        <f t="shared" si="8"/>
        <v>0.55728090000841202</v>
      </c>
      <c r="D22" s="12">
        <f t="shared" si="0"/>
        <v>5.2622469985699305E-2</v>
      </c>
      <c r="E22" s="12">
        <f t="shared" si="1"/>
        <v>0.52475842498527869</v>
      </c>
      <c r="F22" s="12">
        <f t="shared" si="2"/>
        <v>0.53718090504584604</v>
      </c>
      <c r="G22" s="12">
        <f t="shared" si="3"/>
        <v>57.80781376116753</v>
      </c>
      <c r="H22" s="12">
        <f t="shared" si="4"/>
        <v>57.811294504042863</v>
      </c>
      <c r="I22" s="4" t="str">
        <f t="shared" si="5"/>
        <v>left: b = x2</v>
      </c>
      <c r="J22" s="4" t="str">
        <f t="shared" si="6"/>
        <v>no</v>
      </c>
    </row>
    <row r="23" spans="1:10" x14ac:dyDescent="0.35">
      <c r="A23" s="4">
        <v>10</v>
      </c>
      <c r="B23" s="12">
        <f t="shared" si="7"/>
        <v>0.50465843002271271</v>
      </c>
      <c r="C23" s="12">
        <f t="shared" si="8"/>
        <v>0.53718090504584604</v>
      </c>
      <c r="D23" s="12">
        <f t="shared" si="0"/>
        <v>3.2522475023133324E-2</v>
      </c>
      <c r="E23" s="12">
        <f t="shared" si="1"/>
        <v>0.51708091008328017</v>
      </c>
      <c r="F23" s="12">
        <f t="shared" si="2"/>
        <v>0.52475842498527858</v>
      </c>
      <c r="G23" s="12">
        <f t="shared" si="3"/>
        <v>57.807616565663594</v>
      </c>
      <c r="H23" s="12">
        <f t="shared" si="4"/>
        <v>57.80781376116753</v>
      </c>
      <c r="I23" s="4" t="str">
        <f t="shared" si="5"/>
        <v>left: b = x2</v>
      </c>
      <c r="J23" s="4" t="str">
        <f t="shared" si="6"/>
        <v>no</v>
      </c>
    </row>
    <row r="24" spans="1:10" x14ac:dyDescent="0.35">
      <c r="A24" s="4">
        <v>11</v>
      </c>
      <c r="B24" s="12">
        <f t="shared" si="7"/>
        <v>0.50465843002271271</v>
      </c>
      <c r="C24" s="12">
        <f t="shared" si="8"/>
        <v>0.52475842498527858</v>
      </c>
      <c r="D24" s="12">
        <f t="shared" si="0"/>
        <v>2.009999496256587E-2</v>
      </c>
      <c r="E24" s="12">
        <f t="shared" si="1"/>
        <v>0.51233594492471124</v>
      </c>
      <c r="F24" s="12">
        <f t="shared" si="2"/>
        <v>0.51708091008328005</v>
      </c>
      <c r="G24" s="12">
        <f t="shared" si="3"/>
        <v>57.808237999367947</v>
      </c>
      <c r="H24" s="12">
        <f t="shared" si="4"/>
        <v>57.807616565663594</v>
      </c>
      <c r="I24" s="4" t="str">
        <f t="shared" si="5"/>
        <v>right: a = x1</v>
      </c>
      <c r="J24" s="4" t="str">
        <f t="shared" si="6"/>
        <v>no</v>
      </c>
    </row>
    <row r="25" spans="1:10" x14ac:dyDescent="0.35">
      <c r="A25" s="4">
        <v>12</v>
      </c>
      <c r="B25" s="12">
        <f t="shared" si="7"/>
        <v>0.51233594492471124</v>
      </c>
      <c r="C25" s="12">
        <f t="shared" si="8"/>
        <v>0.52475842498527858</v>
      </c>
      <c r="D25" s="12">
        <f t="shared" si="0"/>
        <v>1.2422480060567342E-2</v>
      </c>
      <c r="E25" s="12">
        <f t="shared" si="1"/>
        <v>0.51708091008328017</v>
      </c>
      <c r="F25" s="12">
        <f t="shared" si="2"/>
        <v>0.52001345982670966</v>
      </c>
      <c r="G25" s="12">
        <f t="shared" si="3"/>
        <v>57.807616565663594</v>
      </c>
      <c r="H25" s="12">
        <f t="shared" si="4"/>
        <v>57.807516195021059</v>
      </c>
      <c r="I25" s="4" t="str">
        <f t="shared" si="5"/>
        <v>right: a = x1</v>
      </c>
      <c r="J25" s="4" t="str">
        <f t="shared" si="6"/>
        <v>no</v>
      </c>
    </row>
    <row r="26" spans="1:10" x14ac:dyDescent="0.35">
      <c r="A26" s="4">
        <v>13</v>
      </c>
      <c r="B26" s="12">
        <f t="shared" si="7"/>
        <v>0.51708091008328017</v>
      </c>
      <c r="C26" s="12">
        <f t="shared" si="8"/>
        <v>0.52475842498527858</v>
      </c>
      <c r="D26" s="12">
        <f t="shared" si="0"/>
        <v>7.6775149019984168E-3</v>
      </c>
      <c r="E26" s="12">
        <f t="shared" si="1"/>
        <v>0.52001345982670977</v>
      </c>
      <c r="F26" s="12">
        <f t="shared" si="2"/>
        <v>0.52182587524184898</v>
      </c>
      <c r="G26" s="12">
        <f t="shared" si="3"/>
        <v>57.807516195021066</v>
      </c>
      <c r="H26" s="12">
        <f t="shared" si="4"/>
        <v>57.807562694015559</v>
      </c>
      <c r="I26" s="4" t="str">
        <f t="shared" si="5"/>
        <v>left: b = x2</v>
      </c>
      <c r="J26" s="4" t="str">
        <f t="shared" si="6"/>
        <v>no</v>
      </c>
    </row>
    <row r="27" spans="1:10" x14ac:dyDescent="0.35">
      <c r="A27" s="4">
        <v>14</v>
      </c>
      <c r="B27" s="12">
        <f t="shared" si="7"/>
        <v>0.51708091008328017</v>
      </c>
      <c r="C27" s="12">
        <f t="shared" si="8"/>
        <v>0.52182587524184898</v>
      </c>
      <c r="D27" s="12">
        <f t="shared" si="0"/>
        <v>4.7449651585688146E-3</v>
      </c>
      <c r="E27" s="12">
        <f t="shared" si="1"/>
        <v>0.51889332549841938</v>
      </c>
      <c r="F27" s="12">
        <f t="shared" si="2"/>
        <v>0.52001345982670977</v>
      </c>
      <c r="G27" s="12">
        <f t="shared" si="3"/>
        <v>57.807528924762352</v>
      </c>
      <c r="H27" s="12">
        <f t="shared" si="4"/>
        <v>57.807516195021066</v>
      </c>
      <c r="I27" s="4" t="str">
        <f t="shared" si="5"/>
        <v>right: a = x1</v>
      </c>
      <c r="J27" s="4" t="str">
        <f t="shared" si="6"/>
        <v>no</v>
      </c>
    </row>
    <row r="28" spans="1:10" x14ac:dyDescent="0.35">
      <c r="A28" s="4">
        <v>15</v>
      </c>
      <c r="B28" s="12">
        <f t="shared" si="7"/>
        <v>0.51889332549841938</v>
      </c>
      <c r="C28" s="12">
        <f t="shared" si="8"/>
        <v>0.52182587524184898</v>
      </c>
      <c r="D28" s="12">
        <f t="shared" si="0"/>
        <v>2.9325497434296022E-3</v>
      </c>
      <c r="E28" s="12">
        <f t="shared" si="1"/>
        <v>0.52001345982670966</v>
      </c>
      <c r="F28" s="12">
        <f t="shared" si="2"/>
        <v>0.5207057409135587</v>
      </c>
      <c r="G28" s="12">
        <f t="shared" si="3"/>
        <v>57.807516195021059</v>
      </c>
      <c r="H28" s="12">
        <f t="shared" si="4"/>
        <v>57.807524163935049</v>
      </c>
      <c r="I28" s="4" t="str">
        <f t="shared" si="5"/>
        <v>left: b = x2</v>
      </c>
      <c r="J28" s="4" t="str">
        <f t="shared" si="6"/>
        <v>no</v>
      </c>
    </row>
    <row r="29" spans="1:10" x14ac:dyDescent="0.35">
      <c r="A29" s="4">
        <v>16</v>
      </c>
      <c r="B29" s="12">
        <f t="shared" si="7"/>
        <v>0.51889332549841938</v>
      </c>
      <c r="C29" s="12">
        <f t="shared" si="8"/>
        <v>0.5207057409135587</v>
      </c>
      <c r="D29" s="12">
        <f t="shared" si="0"/>
        <v>1.8124154151393235E-3</v>
      </c>
      <c r="E29" s="12">
        <f t="shared" si="1"/>
        <v>0.51958560658526831</v>
      </c>
      <c r="F29" s="12">
        <f t="shared" si="2"/>
        <v>0.52001345982670977</v>
      </c>
      <c r="G29" s="12">
        <f t="shared" si="3"/>
        <v>57.80751731958977</v>
      </c>
      <c r="H29" s="12">
        <f t="shared" si="4"/>
        <v>57.807516195021066</v>
      </c>
      <c r="I29" s="4" t="str">
        <f t="shared" si="5"/>
        <v>right: a = x1</v>
      </c>
      <c r="J29" s="4" t="str">
        <f t="shared" si="6"/>
        <v>no</v>
      </c>
    </row>
    <row r="30" spans="1:10" x14ac:dyDescent="0.35">
      <c r="A30" s="4">
        <v>17</v>
      </c>
      <c r="B30" s="12">
        <f t="shared" si="7"/>
        <v>0.51958560658526831</v>
      </c>
      <c r="C30" s="12">
        <f t="shared" si="8"/>
        <v>0.5207057409135587</v>
      </c>
      <c r="D30" s="12">
        <f t="shared" si="0"/>
        <v>1.1201343282903897E-3</v>
      </c>
      <c r="E30" s="12">
        <f t="shared" si="1"/>
        <v>0.52001345982670966</v>
      </c>
      <c r="F30" s="12">
        <f t="shared" si="2"/>
        <v>0.52027788767211736</v>
      </c>
      <c r="G30" s="12">
        <f t="shared" si="3"/>
        <v>57.807516195021059</v>
      </c>
      <c r="H30" s="12">
        <f t="shared" si="4"/>
        <v>57.807517810588855</v>
      </c>
      <c r="I30" s="4" t="str">
        <f t="shared" si="5"/>
        <v>left: b = x2</v>
      </c>
      <c r="J30" s="4" t="str">
        <f t="shared" si="6"/>
        <v>no</v>
      </c>
    </row>
    <row r="31" spans="1:10" x14ac:dyDescent="0.35">
      <c r="A31" s="4">
        <v>18</v>
      </c>
      <c r="B31" s="12">
        <f t="shared" si="7"/>
        <v>0.51958560658526831</v>
      </c>
      <c r="C31" s="12">
        <f t="shared" si="8"/>
        <v>0.52027788767211736</v>
      </c>
      <c r="D31" s="12">
        <f t="shared" si="0"/>
        <v>6.9228108684904477E-4</v>
      </c>
      <c r="E31" s="12">
        <f t="shared" si="1"/>
        <v>0.5198500344306759</v>
      </c>
      <c r="F31" s="12">
        <f t="shared" si="2"/>
        <v>0.52001345982670977</v>
      </c>
      <c r="G31" s="12">
        <f t="shared" si="3"/>
        <v>57.807516079150354</v>
      </c>
      <c r="H31" s="12">
        <f t="shared" si="4"/>
        <v>57.807516195021066</v>
      </c>
      <c r="I31" s="4" t="str">
        <f t="shared" si="5"/>
        <v>left: b = x2</v>
      </c>
      <c r="J31" s="4" t="str">
        <f t="shared" si="6"/>
        <v>no</v>
      </c>
    </row>
    <row r="32" spans="1:10" x14ac:dyDescent="0.35">
      <c r="A32" s="4">
        <v>19</v>
      </c>
      <c r="B32" s="12">
        <f t="shared" si="7"/>
        <v>0.51958560658526831</v>
      </c>
      <c r="C32" s="12">
        <f t="shared" si="8"/>
        <v>0.52001345982670977</v>
      </c>
      <c r="D32" s="12">
        <f t="shared" si="0"/>
        <v>4.2785324144145598E-4</v>
      </c>
      <c r="E32" s="12">
        <f t="shared" si="1"/>
        <v>0.51974903198130218</v>
      </c>
      <c r="F32" s="12">
        <f t="shared" si="2"/>
        <v>0.5198500344306759</v>
      </c>
      <c r="G32" s="12">
        <f t="shared" si="3"/>
        <v>57.807516344634095</v>
      </c>
      <c r="H32" s="12">
        <f t="shared" si="4"/>
        <v>57.807516079150354</v>
      </c>
      <c r="I32" s="4" t="str">
        <f t="shared" si="5"/>
        <v>right: a = x1</v>
      </c>
      <c r="J32" s="4" t="str">
        <f t="shared" si="6"/>
        <v>no</v>
      </c>
    </row>
    <row r="33" spans="1:10" x14ac:dyDescent="0.35">
      <c r="A33" s="4">
        <v>20</v>
      </c>
      <c r="B33" s="12">
        <f t="shared" si="7"/>
        <v>0.51974903198130218</v>
      </c>
      <c r="C33" s="12">
        <f t="shared" si="8"/>
        <v>0.52001345982670977</v>
      </c>
      <c r="D33" s="12">
        <f t="shared" si="0"/>
        <v>2.6442784540758879E-4</v>
      </c>
      <c r="E33" s="12">
        <f t="shared" si="1"/>
        <v>0.51985003443067601</v>
      </c>
      <c r="F33" s="12">
        <f t="shared" si="2"/>
        <v>0.51991245737733593</v>
      </c>
      <c r="G33" s="12">
        <f t="shared" si="3"/>
        <v>57.807516079150354</v>
      </c>
      <c r="H33" s="12">
        <f t="shared" si="4"/>
        <v>57.807516043829366</v>
      </c>
      <c r="I33" s="4" t="str">
        <f t="shared" si="5"/>
        <v>right: a = x1</v>
      </c>
      <c r="J33" s="4" t="str">
        <f t="shared" si="6"/>
        <v>no</v>
      </c>
    </row>
    <row r="34" spans="1:10" x14ac:dyDescent="0.35">
      <c r="A34" s="4">
        <v>21</v>
      </c>
      <c r="B34" s="12">
        <f t="shared" si="7"/>
        <v>0.51985003443067601</v>
      </c>
      <c r="C34" s="12">
        <f t="shared" si="8"/>
        <v>0.52001345982670977</v>
      </c>
      <c r="D34" s="12">
        <f t="shared" si="0"/>
        <v>1.6342539603375617E-4</v>
      </c>
      <c r="E34" s="12">
        <f t="shared" si="1"/>
        <v>0.51991245737733605</v>
      </c>
      <c r="F34" s="12">
        <f t="shared" si="2"/>
        <v>0.51995103688004973</v>
      </c>
      <c r="G34" s="12">
        <f t="shared" si="3"/>
        <v>57.807516043829381</v>
      </c>
      <c r="H34" s="12">
        <f t="shared" si="4"/>
        <v>57.807516071182221</v>
      </c>
      <c r="I34" s="4" t="str">
        <f t="shared" si="5"/>
        <v>left: b = x2</v>
      </c>
      <c r="J34" s="4" t="str">
        <f t="shared" si="6"/>
        <v>no</v>
      </c>
    </row>
    <row r="35" spans="1:10" x14ac:dyDescent="0.35">
      <c r="A35" s="4">
        <v>22</v>
      </c>
      <c r="B35" s="12">
        <f t="shared" si="7"/>
        <v>0.51985003443067601</v>
      </c>
      <c r="C35" s="12">
        <f t="shared" si="8"/>
        <v>0.51995103688004973</v>
      </c>
      <c r="D35" s="12">
        <f t="shared" si="0"/>
        <v>1.010024493737216E-4</v>
      </c>
      <c r="E35" s="12">
        <f t="shared" si="1"/>
        <v>0.51988861393338981</v>
      </c>
      <c r="F35" s="12">
        <f t="shared" si="2"/>
        <v>0.51991245737733593</v>
      </c>
      <c r="G35" s="12">
        <f t="shared" si="3"/>
        <v>57.807516045710514</v>
      </c>
      <c r="H35" s="12">
        <f t="shared" si="4"/>
        <v>57.807516043829366</v>
      </c>
      <c r="I35" s="4" t="str">
        <f t="shared" si="5"/>
        <v>right: a = x1</v>
      </c>
      <c r="J35" s="4" t="str">
        <f t="shared" si="6"/>
        <v>no</v>
      </c>
    </row>
    <row r="36" spans="1:10" x14ac:dyDescent="0.35">
      <c r="A36" s="4">
        <v>23</v>
      </c>
      <c r="B36" s="12">
        <f t="shared" si="7"/>
        <v>0.51988861393338981</v>
      </c>
      <c r="C36" s="12">
        <f t="shared" si="8"/>
        <v>0.51995103688004973</v>
      </c>
      <c r="D36" s="12">
        <f t="shared" si="0"/>
        <v>6.2422946659923539E-5</v>
      </c>
      <c r="E36" s="12">
        <f t="shared" si="1"/>
        <v>0.51991245737733593</v>
      </c>
      <c r="F36" s="12">
        <f t="shared" si="2"/>
        <v>0.51992719343610361</v>
      </c>
      <c r="G36" s="12">
        <f t="shared" si="3"/>
        <v>57.807516043829366</v>
      </c>
      <c r="H36" s="12">
        <f t="shared" si="4"/>
        <v>57.807516049842398</v>
      </c>
      <c r="I36" s="4" t="str">
        <f t="shared" si="5"/>
        <v>left: b = x2</v>
      </c>
      <c r="J36" s="4" t="str">
        <f t="shared" si="6"/>
        <v>no</v>
      </c>
    </row>
    <row r="37" spans="1:10" x14ac:dyDescent="0.35">
      <c r="A37" s="4">
        <v>24</v>
      </c>
      <c r="B37" s="12">
        <f t="shared" si="7"/>
        <v>0.51988861393338981</v>
      </c>
      <c r="C37" s="12">
        <f t="shared" si="8"/>
        <v>0.51992719343610361</v>
      </c>
      <c r="D37" s="12">
        <f t="shared" si="0"/>
        <v>3.8579502713798064E-5</v>
      </c>
      <c r="E37" s="12">
        <f t="shared" si="1"/>
        <v>0.51990334999215737</v>
      </c>
      <c r="F37" s="12">
        <f t="shared" si="2"/>
        <v>0.51991245737733605</v>
      </c>
      <c r="G37" s="12">
        <f t="shared" si="3"/>
        <v>57.807516042853962</v>
      </c>
      <c r="H37" s="12">
        <f t="shared" si="4"/>
        <v>57.807516043829381</v>
      </c>
      <c r="I37" s="4" t="str">
        <f t="shared" si="5"/>
        <v>left: b = x2</v>
      </c>
      <c r="J37" s="4" t="str">
        <f t="shared" si="6"/>
        <v>no</v>
      </c>
    </row>
    <row r="38" spans="1:10" x14ac:dyDescent="0.35">
      <c r="A38" s="4">
        <v>25</v>
      </c>
      <c r="B38" s="12">
        <f t="shared" si="7"/>
        <v>0.51988861393338981</v>
      </c>
      <c r="C38" s="12">
        <f t="shared" si="8"/>
        <v>0.51991245737733605</v>
      </c>
      <c r="D38" s="12">
        <f t="shared" si="0"/>
        <v>2.3843443946236498E-5</v>
      </c>
      <c r="E38" s="12">
        <f t="shared" si="1"/>
        <v>0.51989772131856837</v>
      </c>
      <c r="F38" s="12">
        <f t="shared" si="2"/>
        <v>0.51990334999215748</v>
      </c>
      <c r="G38" s="12">
        <f t="shared" si="3"/>
        <v>57.807516043298037</v>
      </c>
      <c r="H38" s="12">
        <f t="shared" si="4"/>
        <v>57.807516042853976</v>
      </c>
      <c r="I38" s="4" t="str">
        <f t="shared" si="5"/>
        <v>right: a = x1</v>
      </c>
      <c r="J38" s="4" t="str">
        <f t="shared" si="6"/>
        <v>no</v>
      </c>
    </row>
    <row r="39" spans="1:10" x14ac:dyDescent="0.35">
      <c r="A39" s="4">
        <v>26</v>
      </c>
      <c r="B39" s="12">
        <f t="shared" si="7"/>
        <v>0.51989772131856837</v>
      </c>
      <c r="C39" s="12">
        <f t="shared" si="8"/>
        <v>0.51991245737733605</v>
      </c>
      <c r="D39" s="12">
        <f t="shared" si="0"/>
        <v>1.4736058767672588E-5</v>
      </c>
      <c r="E39" s="12">
        <f t="shared" si="1"/>
        <v>0.51990334999215737</v>
      </c>
      <c r="F39" s="12">
        <f t="shared" si="2"/>
        <v>0.51990682870374705</v>
      </c>
      <c r="G39" s="12">
        <f t="shared" si="3"/>
        <v>57.807516042853962</v>
      </c>
      <c r="H39" s="12">
        <f t="shared" si="4"/>
        <v>57.807516042979401</v>
      </c>
      <c r="I39" s="4" t="str">
        <f t="shared" si="5"/>
        <v>left: b = x2</v>
      </c>
      <c r="J39" s="4" t="str">
        <f t="shared" si="6"/>
        <v>no</v>
      </c>
    </row>
    <row r="40" spans="1:10" x14ac:dyDescent="0.35">
      <c r="A40" s="4">
        <v>27</v>
      </c>
      <c r="B40" s="12">
        <f t="shared" si="7"/>
        <v>0.51989772131856837</v>
      </c>
      <c r="C40" s="12">
        <f t="shared" si="8"/>
        <v>0.51990682870374705</v>
      </c>
      <c r="D40" s="12">
        <f t="shared" si="0"/>
        <v>9.1073851786749316E-6</v>
      </c>
      <c r="E40" s="12">
        <f t="shared" si="1"/>
        <v>0.51990120003015794</v>
      </c>
      <c r="F40" s="12">
        <f t="shared" si="2"/>
        <v>0.51990334999215748</v>
      </c>
      <c r="G40" s="12">
        <f t="shared" si="3"/>
        <v>57.807516042929194</v>
      </c>
      <c r="H40" s="12">
        <f t="shared" si="4"/>
        <v>57.807516042853976</v>
      </c>
      <c r="I40" s="4" t="str">
        <f t="shared" si="5"/>
        <v>right: a = x1</v>
      </c>
      <c r="J40" s="4" t="str">
        <f t="shared" si="6"/>
        <v>no</v>
      </c>
    </row>
    <row r="41" spans="1:10" x14ac:dyDescent="0.35">
      <c r="A41" s="4">
        <v>28</v>
      </c>
      <c r="B41" s="12">
        <f t="shared" si="7"/>
        <v>0.51990120003015794</v>
      </c>
      <c r="C41" s="12">
        <f t="shared" si="8"/>
        <v>0.51990682870374705</v>
      </c>
      <c r="D41" s="12">
        <f t="shared" si="0"/>
        <v>5.6286735891086792E-6</v>
      </c>
      <c r="E41" s="12">
        <f t="shared" si="1"/>
        <v>0.51990334999215737</v>
      </c>
      <c r="F41" s="12">
        <f t="shared" si="2"/>
        <v>0.51990467874174762</v>
      </c>
      <c r="G41" s="12">
        <f t="shared" si="3"/>
        <v>57.807516042853962</v>
      </c>
      <c r="H41" s="12">
        <f t="shared" si="4"/>
        <v>57.807516042865821</v>
      </c>
      <c r="I41" s="4" t="str">
        <f t="shared" si="5"/>
        <v>left: b = x2</v>
      </c>
      <c r="J41" s="4" t="str">
        <f t="shared" si="6"/>
        <v>no</v>
      </c>
    </row>
    <row r="42" spans="1:10" x14ac:dyDescent="0.35">
      <c r="A42" s="4">
        <v>29</v>
      </c>
      <c r="B42" s="12">
        <f t="shared" si="7"/>
        <v>0.51990120003015794</v>
      </c>
      <c r="C42" s="12">
        <f t="shared" si="8"/>
        <v>0.51990467874174762</v>
      </c>
      <c r="D42" s="12">
        <f t="shared" si="0"/>
        <v>3.4787115896772747E-6</v>
      </c>
      <c r="E42" s="12">
        <f t="shared" si="1"/>
        <v>0.51990252877974819</v>
      </c>
      <c r="F42" s="12">
        <f t="shared" si="2"/>
        <v>0.51990334999215737</v>
      </c>
      <c r="G42" s="12">
        <f t="shared" si="3"/>
        <v>57.807516042868926</v>
      </c>
      <c r="H42" s="12">
        <f t="shared" si="4"/>
        <v>57.807516042853962</v>
      </c>
      <c r="I42" s="4" t="str">
        <f t="shared" si="5"/>
        <v>right: a = x1</v>
      </c>
      <c r="J42" s="4" t="str">
        <f t="shared" si="6"/>
        <v>no</v>
      </c>
    </row>
    <row r="43" spans="1:10" x14ac:dyDescent="0.35">
      <c r="A43" s="4">
        <v>30</v>
      </c>
      <c r="B43" s="12">
        <f t="shared" si="7"/>
        <v>0.51990252877974819</v>
      </c>
      <c r="C43" s="12">
        <f t="shared" si="8"/>
        <v>0.51990467874174762</v>
      </c>
      <c r="D43" s="12">
        <f t="shared" si="0"/>
        <v>2.1499619994314045E-6</v>
      </c>
      <c r="E43" s="12">
        <f t="shared" si="1"/>
        <v>0.51990334999215748</v>
      </c>
      <c r="F43" s="12">
        <f t="shared" si="2"/>
        <v>0.51990385752933832</v>
      </c>
      <c r="G43" s="12">
        <f t="shared" si="3"/>
        <v>57.807516042853976</v>
      </c>
      <c r="H43" s="12">
        <f t="shared" si="4"/>
        <v>57.807516042853237</v>
      </c>
      <c r="I43" s="4" t="str">
        <f t="shared" si="5"/>
        <v>right: a = x1</v>
      </c>
      <c r="J43" s="4" t="str">
        <f t="shared" si="6"/>
        <v>no</v>
      </c>
    </row>
    <row r="44" spans="1:10" x14ac:dyDescent="0.35">
      <c r="A44" s="4">
        <v>31</v>
      </c>
      <c r="B44" s="12">
        <f t="shared" si="7"/>
        <v>0.51990334999215748</v>
      </c>
      <c r="C44" s="12">
        <f t="shared" si="8"/>
        <v>0.51990467874174762</v>
      </c>
      <c r="D44" s="12">
        <f t="shared" si="0"/>
        <v>1.3287495901348478E-6</v>
      </c>
      <c r="E44" s="12">
        <f t="shared" si="1"/>
        <v>0.51990385752933843</v>
      </c>
      <c r="F44" s="12">
        <f t="shared" si="2"/>
        <v>0.51990417120456667</v>
      </c>
      <c r="G44" s="12">
        <f t="shared" si="3"/>
        <v>57.807516042853237</v>
      </c>
      <c r="H44" s="12">
        <f t="shared" si="4"/>
        <v>57.807516042856037</v>
      </c>
      <c r="I44" s="4" t="str">
        <f t="shared" si="5"/>
        <v>left: b = x2</v>
      </c>
      <c r="J44" s="4" t="str">
        <f t="shared" si="6"/>
        <v>no</v>
      </c>
    </row>
    <row r="45" spans="1:10" x14ac:dyDescent="0.35">
      <c r="A45" s="4">
        <v>32</v>
      </c>
      <c r="B45" s="12">
        <f t="shared" si="7"/>
        <v>0.51990334999215748</v>
      </c>
      <c r="C45" s="12">
        <f t="shared" si="8"/>
        <v>0.51990417120456667</v>
      </c>
      <c r="D45" s="12">
        <f t="shared" ref="D45:D62" si="9">C45-B45</f>
        <v>8.212124091855344E-7</v>
      </c>
      <c r="E45" s="12">
        <f t="shared" ref="E45:E62" si="10">B45+$F$4*(C45-B45)</f>
        <v>0.51990366366738583</v>
      </c>
      <c r="F45" s="12">
        <f t="shared" ref="F45:F62" si="11">C45-$F$4*(C45-B45)</f>
        <v>0.51990385752933832</v>
      </c>
      <c r="G45" s="12">
        <f t="shared" ref="G45:G62" si="12">(E45-$B$3)^2+($B$5*E45^2+$B$6*E45+$B$7-$B$4)^2</f>
        <v>57.807516042852747</v>
      </c>
      <c r="H45" s="12">
        <f t="shared" ref="H45:H62" si="13">(F45-$B$3)^2+($B$5*F45^2+$B$6*F45+$B$7-$B$4)^2</f>
        <v>57.807516042853237</v>
      </c>
      <c r="I45" s="4" t="str">
        <f t="shared" ref="I45:I62" si="14">IF(J45="yes","-",IF(G45&lt;H45,"left: b = x2","right: a = x1"))</f>
        <v>left: b = x2</v>
      </c>
      <c r="J45" s="4" t="str">
        <f t="shared" ref="J45:J62" si="15">IF(D45&lt;$B$10,"yes","no")</f>
        <v>no</v>
      </c>
    </row>
    <row r="46" spans="1:10" x14ac:dyDescent="0.35">
      <c r="A46" s="4">
        <v>33</v>
      </c>
      <c r="B46" s="12">
        <f t="shared" ref="B46:B62" si="16">IF(J45="yes",B45,IF(G45&lt;H45,B45,E45))</f>
        <v>0.51990334999215748</v>
      </c>
      <c r="C46" s="12">
        <f t="shared" ref="C46:C62" si="17">IF(J45="yes",C45,IF(G45&lt;H45,F45,C45))</f>
        <v>0.51990385752933832</v>
      </c>
      <c r="D46" s="12">
        <f t="shared" si="9"/>
        <v>5.0753718083829114E-7</v>
      </c>
      <c r="E46" s="12">
        <f t="shared" si="10"/>
        <v>0.51990354385410997</v>
      </c>
      <c r="F46" s="12">
        <f t="shared" si="11"/>
        <v>0.51990366366738583</v>
      </c>
      <c r="G46" s="12">
        <f t="shared" si="12"/>
        <v>57.807516042852924</v>
      </c>
      <c r="H46" s="12">
        <f t="shared" si="13"/>
        <v>57.807516042852747</v>
      </c>
      <c r="I46" s="4" t="str">
        <f t="shared" si="14"/>
        <v>right: a = x1</v>
      </c>
      <c r="J46" s="4" t="str">
        <f t="shared" si="15"/>
        <v>no</v>
      </c>
    </row>
    <row r="47" spans="1:10" x14ac:dyDescent="0.35">
      <c r="A47" s="4">
        <v>34</v>
      </c>
      <c r="B47" s="12">
        <f t="shared" si="16"/>
        <v>0.51990354385410997</v>
      </c>
      <c r="C47" s="12">
        <f t="shared" si="17"/>
        <v>0.51990385752933832</v>
      </c>
      <c r="D47" s="12">
        <f t="shared" si="9"/>
        <v>3.1367522834724326E-7</v>
      </c>
      <c r="E47" s="12">
        <f t="shared" si="10"/>
        <v>0.51990366366738572</v>
      </c>
      <c r="F47" s="12">
        <f t="shared" si="11"/>
        <v>0.51990373771606258</v>
      </c>
      <c r="G47" s="12">
        <f t="shared" si="12"/>
        <v>57.807516042852754</v>
      </c>
      <c r="H47" s="12">
        <f t="shared" si="13"/>
        <v>57.807516042852825</v>
      </c>
      <c r="I47" s="4" t="str">
        <f t="shared" si="14"/>
        <v>right: a = x1</v>
      </c>
      <c r="J47" s="4" t="str">
        <f t="shared" si="15"/>
        <v>no</v>
      </c>
    </row>
    <row r="48" spans="1:10" x14ac:dyDescent="0.35">
      <c r="A48" s="4">
        <v>35</v>
      </c>
      <c r="B48" s="12">
        <f t="shared" si="16"/>
        <v>0.51990366366738572</v>
      </c>
      <c r="C48" s="12">
        <f t="shared" si="17"/>
        <v>0.51990385752933832</v>
      </c>
      <c r="D48" s="12">
        <f t="shared" si="9"/>
        <v>1.9386195260207018E-7</v>
      </c>
      <c r="E48" s="12">
        <f t="shared" si="10"/>
        <v>0.51990373771606246</v>
      </c>
      <c r="F48" s="12">
        <f t="shared" si="11"/>
        <v>0.51990378348066157</v>
      </c>
      <c r="G48" s="12">
        <f t="shared" si="12"/>
        <v>57.807516042852825</v>
      </c>
      <c r="H48" s="12">
        <f t="shared" si="13"/>
        <v>57.807516042852932</v>
      </c>
      <c r="I48" s="4" t="str">
        <f t="shared" si="14"/>
        <v>left: b = x2</v>
      </c>
      <c r="J48" s="4" t="str">
        <f t="shared" si="15"/>
        <v>no</v>
      </c>
    </row>
    <row r="49" spans="1:10" x14ac:dyDescent="0.35">
      <c r="A49" s="4">
        <v>36</v>
      </c>
      <c r="B49" s="12">
        <f t="shared" si="16"/>
        <v>0.51990366366738572</v>
      </c>
      <c r="C49" s="12">
        <f t="shared" si="17"/>
        <v>0.51990378348066157</v>
      </c>
      <c r="D49" s="12">
        <f t="shared" si="9"/>
        <v>1.1981327585619539E-7</v>
      </c>
      <c r="E49" s="12">
        <f t="shared" si="10"/>
        <v>0.51990370943198483</v>
      </c>
      <c r="F49" s="12">
        <f t="shared" si="11"/>
        <v>0.51990373771606246</v>
      </c>
      <c r="G49" s="12">
        <f t="shared" si="12"/>
        <v>57.807516042852782</v>
      </c>
      <c r="H49" s="12">
        <f t="shared" si="13"/>
        <v>57.807516042852825</v>
      </c>
      <c r="I49" s="4" t="str">
        <f t="shared" si="14"/>
        <v>right: a = x1</v>
      </c>
      <c r="J49" s="4" t="str">
        <f t="shared" si="15"/>
        <v>no</v>
      </c>
    </row>
    <row r="50" spans="1:10" x14ac:dyDescent="0.35">
      <c r="A50" s="4">
        <v>37</v>
      </c>
      <c r="B50" s="12">
        <f t="shared" si="16"/>
        <v>0.51990370943198483</v>
      </c>
      <c r="C50" s="12">
        <f t="shared" si="17"/>
        <v>0.51990378348066157</v>
      </c>
      <c r="D50" s="12">
        <f t="shared" si="9"/>
        <v>7.4048676745874786E-8</v>
      </c>
      <c r="E50" s="12">
        <f t="shared" si="10"/>
        <v>0.51990373771606258</v>
      </c>
      <c r="F50" s="12">
        <f t="shared" si="11"/>
        <v>0.51990375519658383</v>
      </c>
      <c r="G50" s="12">
        <f t="shared" si="12"/>
        <v>57.807516042852825</v>
      </c>
      <c r="H50" s="12">
        <f t="shared" si="13"/>
        <v>57.80751604285286</v>
      </c>
      <c r="I50" s="4" t="str">
        <f t="shared" si="14"/>
        <v>-</v>
      </c>
      <c r="J50" s="4" t="str">
        <f t="shared" si="15"/>
        <v>yes</v>
      </c>
    </row>
    <row r="51" spans="1:10" x14ac:dyDescent="0.35">
      <c r="A51" s="4">
        <v>38</v>
      </c>
      <c r="B51" s="12">
        <f t="shared" si="16"/>
        <v>0.51990370943198483</v>
      </c>
      <c r="C51" s="12">
        <f t="shared" si="17"/>
        <v>0.51990378348066157</v>
      </c>
      <c r="D51" s="12">
        <f t="shared" si="9"/>
        <v>7.4048676745874786E-8</v>
      </c>
      <c r="E51" s="12">
        <f t="shared" si="10"/>
        <v>0.51990373771606258</v>
      </c>
      <c r="F51" s="12">
        <f t="shared" si="11"/>
        <v>0.51990375519658383</v>
      </c>
      <c r="G51" s="12">
        <f t="shared" si="12"/>
        <v>57.807516042852825</v>
      </c>
      <c r="H51" s="12">
        <f t="shared" si="13"/>
        <v>57.80751604285286</v>
      </c>
      <c r="I51" s="4" t="str">
        <f t="shared" si="14"/>
        <v>-</v>
      </c>
      <c r="J51" s="4" t="str">
        <f t="shared" si="15"/>
        <v>yes</v>
      </c>
    </row>
    <row r="52" spans="1:10" x14ac:dyDescent="0.35">
      <c r="A52" s="4">
        <v>39</v>
      </c>
      <c r="B52" s="12">
        <f t="shared" si="16"/>
        <v>0.51990370943198483</v>
      </c>
      <c r="C52" s="12">
        <f t="shared" si="17"/>
        <v>0.51990378348066157</v>
      </c>
      <c r="D52" s="12">
        <f t="shared" si="9"/>
        <v>7.4048676745874786E-8</v>
      </c>
      <c r="E52" s="12">
        <f t="shared" si="10"/>
        <v>0.51990373771606258</v>
      </c>
      <c r="F52" s="12">
        <f t="shared" si="11"/>
        <v>0.51990375519658383</v>
      </c>
      <c r="G52" s="12">
        <f t="shared" si="12"/>
        <v>57.807516042852825</v>
      </c>
      <c r="H52" s="12">
        <f t="shared" si="13"/>
        <v>57.80751604285286</v>
      </c>
      <c r="I52" s="4" t="str">
        <f t="shared" si="14"/>
        <v>-</v>
      </c>
      <c r="J52" s="4" t="str">
        <f t="shared" si="15"/>
        <v>yes</v>
      </c>
    </row>
    <row r="53" spans="1:10" x14ac:dyDescent="0.35">
      <c r="A53" s="4">
        <v>40</v>
      </c>
      <c r="B53" s="12">
        <f t="shared" si="16"/>
        <v>0.51990370943198483</v>
      </c>
      <c r="C53" s="12">
        <f t="shared" si="17"/>
        <v>0.51990378348066157</v>
      </c>
      <c r="D53" s="12">
        <f t="shared" si="9"/>
        <v>7.4048676745874786E-8</v>
      </c>
      <c r="E53" s="12">
        <f t="shared" si="10"/>
        <v>0.51990373771606258</v>
      </c>
      <c r="F53" s="12">
        <f t="shared" si="11"/>
        <v>0.51990375519658383</v>
      </c>
      <c r="G53" s="12">
        <f t="shared" si="12"/>
        <v>57.807516042852825</v>
      </c>
      <c r="H53" s="12">
        <f t="shared" si="13"/>
        <v>57.80751604285286</v>
      </c>
      <c r="I53" s="4" t="str">
        <f t="shared" si="14"/>
        <v>-</v>
      </c>
      <c r="J53" s="4" t="str">
        <f t="shared" si="15"/>
        <v>yes</v>
      </c>
    </row>
    <row r="54" spans="1:10" x14ac:dyDescent="0.35">
      <c r="A54" s="4">
        <v>41</v>
      </c>
      <c r="B54" s="12">
        <f t="shared" si="16"/>
        <v>0.51990370943198483</v>
      </c>
      <c r="C54" s="12">
        <f t="shared" si="17"/>
        <v>0.51990378348066157</v>
      </c>
      <c r="D54" s="12">
        <f t="shared" si="9"/>
        <v>7.4048676745874786E-8</v>
      </c>
      <c r="E54" s="12">
        <f t="shared" si="10"/>
        <v>0.51990373771606258</v>
      </c>
      <c r="F54" s="12">
        <f t="shared" si="11"/>
        <v>0.51990375519658383</v>
      </c>
      <c r="G54" s="12">
        <f t="shared" si="12"/>
        <v>57.807516042852825</v>
      </c>
      <c r="H54" s="12">
        <f t="shared" si="13"/>
        <v>57.80751604285286</v>
      </c>
      <c r="I54" s="4" t="str">
        <f t="shared" si="14"/>
        <v>-</v>
      </c>
      <c r="J54" s="4" t="str">
        <f t="shared" si="15"/>
        <v>yes</v>
      </c>
    </row>
    <row r="55" spans="1:10" x14ac:dyDescent="0.35">
      <c r="A55" s="4">
        <v>42</v>
      </c>
      <c r="B55" s="12">
        <f t="shared" si="16"/>
        <v>0.51990370943198483</v>
      </c>
      <c r="C55" s="12">
        <f t="shared" si="17"/>
        <v>0.51990378348066157</v>
      </c>
      <c r="D55" s="12">
        <f t="shared" si="9"/>
        <v>7.4048676745874786E-8</v>
      </c>
      <c r="E55" s="12">
        <f t="shared" si="10"/>
        <v>0.51990373771606258</v>
      </c>
      <c r="F55" s="12">
        <f t="shared" si="11"/>
        <v>0.51990375519658383</v>
      </c>
      <c r="G55" s="12">
        <f t="shared" si="12"/>
        <v>57.807516042852825</v>
      </c>
      <c r="H55" s="12">
        <f t="shared" si="13"/>
        <v>57.80751604285286</v>
      </c>
      <c r="I55" s="4" t="str">
        <f t="shared" si="14"/>
        <v>-</v>
      </c>
      <c r="J55" s="4" t="str">
        <f t="shared" si="15"/>
        <v>yes</v>
      </c>
    </row>
    <row r="56" spans="1:10" x14ac:dyDescent="0.35">
      <c r="A56" s="4">
        <v>43</v>
      </c>
      <c r="B56" s="12">
        <f t="shared" si="16"/>
        <v>0.51990370943198483</v>
      </c>
      <c r="C56" s="12">
        <f t="shared" si="17"/>
        <v>0.51990378348066157</v>
      </c>
      <c r="D56" s="12">
        <f t="shared" si="9"/>
        <v>7.4048676745874786E-8</v>
      </c>
      <c r="E56" s="12">
        <f t="shared" si="10"/>
        <v>0.51990373771606258</v>
      </c>
      <c r="F56" s="12">
        <f t="shared" si="11"/>
        <v>0.51990375519658383</v>
      </c>
      <c r="G56" s="12">
        <f t="shared" si="12"/>
        <v>57.807516042852825</v>
      </c>
      <c r="H56" s="12">
        <f t="shared" si="13"/>
        <v>57.80751604285286</v>
      </c>
      <c r="I56" s="4" t="str">
        <f t="shared" si="14"/>
        <v>-</v>
      </c>
      <c r="J56" s="4" t="str">
        <f t="shared" si="15"/>
        <v>yes</v>
      </c>
    </row>
    <row r="57" spans="1:10" x14ac:dyDescent="0.35">
      <c r="A57" s="4">
        <v>44</v>
      </c>
      <c r="B57" s="12">
        <f t="shared" si="16"/>
        <v>0.51990370943198483</v>
      </c>
      <c r="C57" s="12">
        <f t="shared" si="17"/>
        <v>0.51990378348066157</v>
      </c>
      <c r="D57" s="12">
        <f t="shared" si="9"/>
        <v>7.4048676745874786E-8</v>
      </c>
      <c r="E57" s="12">
        <f t="shared" si="10"/>
        <v>0.51990373771606258</v>
      </c>
      <c r="F57" s="12">
        <f t="shared" si="11"/>
        <v>0.51990375519658383</v>
      </c>
      <c r="G57" s="12">
        <f t="shared" si="12"/>
        <v>57.807516042852825</v>
      </c>
      <c r="H57" s="12">
        <f t="shared" si="13"/>
        <v>57.80751604285286</v>
      </c>
      <c r="I57" s="4" t="str">
        <f t="shared" si="14"/>
        <v>-</v>
      </c>
      <c r="J57" s="4" t="str">
        <f t="shared" si="15"/>
        <v>yes</v>
      </c>
    </row>
    <row r="58" spans="1:10" x14ac:dyDescent="0.35">
      <c r="A58" s="4">
        <v>45</v>
      </c>
      <c r="B58" s="12">
        <f t="shared" si="16"/>
        <v>0.51990370943198483</v>
      </c>
      <c r="C58" s="12">
        <f t="shared" si="17"/>
        <v>0.51990378348066157</v>
      </c>
      <c r="D58" s="12">
        <f t="shared" si="9"/>
        <v>7.4048676745874786E-8</v>
      </c>
      <c r="E58" s="12">
        <f t="shared" si="10"/>
        <v>0.51990373771606258</v>
      </c>
      <c r="F58" s="12">
        <f t="shared" si="11"/>
        <v>0.51990375519658383</v>
      </c>
      <c r="G58" s="12">
        <f t="shared" si="12"/>
        <v>57.807516042852825</v>
      </c>
      <c r="H58" s="12">
        <f t="shared" si="13"/>
        <v>57.80751604285286</v>
      </c>
      <c r="I58" s="4" t="str">
        <f t="shared" si="14"/>
        <v>-</v>
      </c>
      <c r="J58" s="4" t="str">
        <f t="shared" si="15"/>
        <v>yes</v>
      </c>
    </row>
    <row r="59" spans="1:10" x14ac:dyDescent="0.35">
      <c r="A59" s="4">
        <v>46</v>
      </c>
      <c r="B59" s="12">
        <f t="shared" si="16"/>
        <v>0.51990370943198483</v>
      </c>
      <c r="C59" s="12">
        <f t="shared" si="17"/>
        <v>0.51990378348066157</v>
      </c>
      <c r="D59" s="12">
        <f t="shared" si="9"/>
        <v>7.4048676745874786E-8</v>
      </c>
      <c r="E59" s="12">
        <f t="shared" si="10"/>
        <v>0.51990373771606258</v>
      </c>
      <c r="F59" s="12">
        <f t="shared" si="11"/>
        <v>0.51990375519658383</v>
      </c>
      <c r="G59" s="12">
        <f t="shared" si="12"/>
        <v>57.807516042852825</v>
      </c>
      <c r="H59" s="12">
        <f t="shared" si="13"/>
        <v>57.80751604285286</v>
      </c>
      <c r="I59" s="4" t="str">
        <f t="shared" si="14"/>
        <v>-</v>
      </c>
      <c r="J59" s="4" t="str">
        <f t="shared" si="15"/>
        <v>yes</v>
      </c>
    </row>
    <row r="60" spans="1:10" x14ac:dyDescent="0.35">
      <c r="A60" s="4">
        <v>47</v>
      </c>
      <c r="B60" s="12">
        <f t="shared" si="16"/>
        <v>0.51990370943198483</v>
      </c>
      <c r="C60" s="12">
        <f t="shared" si="17"/>
        <v>0.51990378348066157</v>
      </c>
      <c r="D60" s="12">
        <f t="shared" si="9"/>
        <v>7.4048676745874786E-8</v>
      </c>
      <c r="E60" s="12">
        <f t="shared" si="10"/>
        <v>0.51990373771606258</v>
      </c>
      <c r="F60" s="12">
        <f t="shared" si="11"/>
        <v>0.51990375519658383</v>
      </c>
      <c r="G60" s="12">
        <f t="shared" si="12"/>
        <v>57.807516042852825</v>
      </c>
      <c r="H60" s="12">
        <f t="shared" si="13"/>
        <v>57.80751604285286</v>
      </c>
      <c r="I60" s="4" t="str">
        <f t="shared" si="14"/>
        <v>-</v>
      </c>
      <c r="J60" s="4" t="str">
        <f t="shared" si="15"/>
        <v>yes</v>
      </c>
    </row>
    <row r="61" spans="1:10" x14ac:dyDescent="0.35">
      <c r="A61" s="4">
        <v>48</v>
      </c>
      <c r="B61" s="12">
        <f t="shared" si="16"/>
        <v>0.51990370943198483</v>
      </c>
      <c r="C61" s="12">
        <f t="shared" si="17"/>
        <v>0.51990378348066157</v>
      </c>
      <c r="D61" s="12">
        <f t="shared" si="9"/>
        <v>7.4048676745874786E-8</v>
      </c>
      <c r="E61" s="12">
        <f t="shared" si="10"/>
        <v>0.51990373771606258</v>
      </c>
      <c r="F61" s="12">
        <f t="shared" si="11"/>
        <v>0.51990375519658383</v>
      </c>
      <c r="G61" s="12">
        <f t="shared" si="12"/>
        <v>57.807516042852825</v>
      </c>
      <c r="H61" s="12">
        <f t="shared" si="13"/>
        <v>57.80751604285286</v>
      </c>
      <c r="I61" s="4" t="str">
        <f t="shared" si="14"/>
        <v>-</v>
      </c>
      <c r="J61" s="4" t="str">
        <f t="shared" si="15"/>
        <v>yes</v>
      </c>
    </row>
    <row r="62" spans="1:10" x14ac:dyDescent="0.35">
      <c r="A62" s="4">
        <v>49</v>
      </c>
      <c r="B62" s="12">
        <f t="shared" si="16"/>
        <v>0.51990370943198483</v>
      </c>
      <c r="C62" s="12">
        <f t="shared" si="17"/>
        <v>0.51990378348066157</v>
      </c>
      <c r="D62" s="12">
        <f t="shared" si="9"/>
        <v>7.4048676745874786E-8</v>
      </c>
      <c r="E62" s="12">
        <f t="shared" si="10"/>
        <v>0.51990373771606258</v>
      </c>
      <c r="F62" s="12">
        <f t="shared" si="11"/>
        <v>0.51990375519658383</v>
      </c>
      <c r="G62" s="12">
        <f t="shared" si="12"/>
        <v>57.807516042852825</v>
      </c>
      <c r="H62" s="12">
        <f t="shared" si="13"/>
        <v>57.80751604285286</v>
      </c>
      <c r="I62" s="4" t="str">
        <f t="shared" si="14"/>
        <v>-</v>
      </c>
      <c r="J62" s="4" t="str">
        <f t="shared" si="15"/>
        <v>yes</v>
      </c>
    </row>
    <row r="63" spans="1:10" x14ac:dyDescent="0.35">
      <c r="A63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Point (0,0)</vt:lpstr>
      <vt:lpstr>Point (-4,0)</vt:lpstr>
      <vt:lpstr>Point (-8,0)</vt:lpstr>
      <vt:lpstr>Point (2,0)</vt:lpstr>
      <vt:lpstr>Point (6,0)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Dylan Yeung</cp:lastModifiedBy>
  <cp:revision>0</cp:revision>
  <dcterms:created xsi:type="dcterms:W3CDTF">2026-09-27T23:53:15Z</dcterms:created>
  <dcterms:modified xsi:type="dcterms:W3CDTF">2026-09-29T19:56:52Z</dcterms:modified>
  <dc:language>en-US</dc:language>
</cp:coreProperties>
</file>