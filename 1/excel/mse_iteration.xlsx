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a6dd0348f42f2e/Documents/4A/SYDE 572/Assignments/Assignment 1/excel/"/>
    </mc:Choice>
  </mc:AlternateContent>
  <xr:revisionPtr revIDLastSave="17" documentId="11_4F5C977E64F0DFB04D17B7E44E5F029D0E578646" xr6:coauthVersionLast="47" xr6:coauthVersionMax="47" xr10:uidLastSave="{16B0BF6F-8244-4A04-8185-E7477054F55A}"/>
  <bookViews>
    <workbookView xWindow="35880" yWindow="3540" windowWidth="29040" windowHeight="15720" tabRatio="500" activeTab="1" xr2:uid="{00000000-000D-0000-FFFF-FFFF00000000}"/>
  </bookViews>
  <sheets>
    <sheet name="Line" sheetId="1" r:id="rId1"/>
    <sheet name="Parabol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" i="2" l="1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J15" i="2"/>
  <c r="G15" i="2"/>
  <c r="D15" i="2"/>
  <c r="F12" i="2"/>
  <c r="F11" i="2"/>
  <c r="F10" i="2"/>
  <c r="F9" i="2"/>
  <c r="F8" i="2"/>
  <c r="F7" i="2"/>
  <c r="F6" i="2"/>
  <c r="F5" i="2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G15" i="1"/>
  <c r="D15" i="1"/>
  <c r="F12" i="1"/>
  <c r="F11" i="1"/>
  <c r="F10" i="1"/>
  <c r="F9" i="1"/>
  <c r="F8" i="1"/>
  <c r="F7" i="1"/>
  <c r="F6" i="1"/>
  <c r="F5" i="1"/>
  <c r="C35" i="1" s="1"/>
  <c r="C73" i="1" l="1"/>
  <c r="C65" i="1"/>
  <c r="C57" i="1"/>
  <c r="C49" i="1"/>
  <c r="C41" i="1"/>
  <c r="C33" i="1"/>
  <c r="C25" i="1"/>
  <c r="C17" i="1"/>
  <c r="C71" i="1"/>
  <c r="C63" i="1"/>
  <c r="C55" i="1"/>
  <c r="C47" i="1"/>
  <c r="C39" i="1"/>
  <c r="C31" i="1"/>
  <c r="C23" i="1"/>
  <c r="C72" i="1"/>
  <c r="C64" i="1"/>
  <c r="C56" i="1"/>
  <c r="C48" i="1"/>
  <c r="C40" i="1"/>
  <c r="C32" i="1"/>
  <c r="C24" i="1"/>
  <c r="C16" i="1"/>
  <c r="D16" i="1" s="1"/>
  <c r="E16" i="1" s="1"/>
  <c r="G16" i="1" s="1"/>
  <c r="H16" i="1" s="1"/>
  <c r="B16" i="1"/>
  <c r="M9" i="1"/>
  <c r="C70" i="1"/>
  <c r="C62" i="1"/>
  <c r="C54" i="1"/>
  <c r="C46" i="1"/>
  <c r="C38" i="1"/>
  <c r="C30" i="1"/>
  <c r="C22" i="1"/>
  <c r="C74" i="1"/>
  <c r="C66" i="1"/>
  <c r="C58" i="1"/>
  <c r="C50" i="1"/>
  <c r="C19" i="1"/>
  <c r="C43" i="1"/>
  <c r="C61" i="1"/>
  <c r="C26" i="1"/>
  <c r="C36" i="1"/>
  <c r="C52" i="1"/>
  <c r="C68" i="1"/>
  <c r="F413" i="2"/>
  <c r="F411" i="2"/>
  <c r="F409" i="2"/>
  <c r="F407" i="2"/>
  <c r="F405" i="2"/>
  <c r="F403" i="2"/>
  <c r="F401" i="2"/>
  <c r="F399" i="2"/>
  <c r="F397" i="2"/>
  <c r="F395" i="2"/>
  <c r="F393" i="2"/>
  <c r="F391" i="2"/>
  <c r="F389" i="2"/>
  <c r="F387" i="2"/>
  <c r="F385" i="2"/>
  <c r="F383" i="2"/>
  <c r="F381" i="2"/>
  <c r="F379" i="2"/>
  <c r="F377" i="2"/>
  <c r="F375" i="2"/>
  <c r="F373" i="2"/>
  <c r="F371" i="2"/>
  <c r="F369" i="2"/>
  <c r="F367" i="2"/>
  <c r="F365" i="2"/>
  <c r="F363" i="2"/>
  <c r="F361" i="2"/>
  <c r="F359" i="2"/>
  <c r="F414" i="2"/>
  <c r="F412" i="2"/>
  <c r="F410" i="2"/>
  <c r="F408" i="2"/>
  <c r="F406" i="2"/>
  <c r="F404" i="2"/>
  <c r="F402" i="2"/>
  <c r="F400" i="2"/>
  <c r="F398" i="2"/>
  <c r="F396" i="2"/>
  <c r="F394" i="2"/>
  <c r="F392" i="2"/>
  <c r="F390" i="2"/>
  <c r="F388" i="2"/>
  <c r="F386" i="2"/>
  <c r="F384" i="2"/>
  <c r="F382" i="2"/>
  <c r="F380" i="2"/>
  <c r="F378" i="2"/>
  <c r="F376" i="2"/>
  <c r="F374" i="2"/>
  <c r="F372" i="2"/>
  <c r="F370" i="2"/>
  <c r="F368" i="2"/>
  <c r="F366" i="2"/>
  <c r="F364" i="2"/>
  <c r="F362" i="2"/>
  <c r="F360" i="2"/>
  <c r="C412" i="2"/>
  <c r="C404" i="2"/>
  <c r="C396" i="2"/>
  <c r="C388" i="2"/>
  <c r="C380" i="2"/>
  <c r="C372" i="2"/>
  <c r="C364" i="2"/>
  <c r="F357" i="2"/>
  <c r="F355" i="2"/>
  <c r="F353" i="2"/>
  <c r="F351" i="2"/>
  <c r="F349" i="2"/>
  <c r="F347" i="2"/>
  <c r="F345" i="2"/>
  <c r="F343" i="2"/>
  <c r="F341" i="2"/>
  <c r="F339" i="2"/>
  <c r="F337" i="2"/>
  <c r="F335" i="2"/>
  <c r="F333" i="2"/>
  <c r="F331" i="2"/>
  <c r="C413" i="2"/>
  <c r="C405" i="2"/>
  <c r="C397" i="2"/>
  <c r="C389" i="2"/>
  <c r="C381" i="2"/>
  <c r="C373" i="2"/>
  <c r="C365" i="2"/>
  <c r="C414" i="2"/>
  <c r="C406" i="2"/>
  <c r="C398" i="2"/>
  <c r="C390" i="2"/>
  <c r="C382" i="2"/>
  <c r="C374" i="2"/>
  <c r="C366" i="2"/>
  <c r="C407" i="2"/>
  <c r="C399" i="2"/>
  <c r="C391" i="2"/>
  <c r="C383" i="2"/>
  <c r="C375" i="2"/>
  <c r="C367" i="2"/>
  <c r="C357" i="2"/>
  <c r="C355" i="2"/>
  <c r="C353" i="2"/>
  <c r="C351" i="2"/>
  <c r="C349" i="2"/>
  <c r="C347" i="2"/>
  <c r="C345" i="2"/>
  <c r="C343" i="2"/>
  <c r="C341" i="2"/>
  <c r="C339" i="2"/>
  <c r="C337" i="2"/>
  <c r="C335" i="2"/>
  <c r="C333" i="2"/>
  <c r="C331" i="2"/>
  <c r="C408" i="2"/>
  <c r="C400" i="2"/>
  <c r="C392" i="2"/>
  <c r="C384" i="2"/>
  <c r="C376" i="2"/>
  <c r="C368" i="2"/>
  <c r="C360" i="2"/>
  <c r="F356" i="2"/>
  <c r="F354" i="2"/>
  <c r="F352" i="2"/>
  <c r="F350" i="2"/>
  <c r="F348" i="2"/>
  <c r="F346" i="2"/>
  <c r="F344" i="2"/>
  <c r="F342" i="2"/>
  <c r="F340" i="2"/>
  <c r="F338" i="2"/>
  <c r="F336" i="2"/>
  <c r="F334" i="2"/>
  <c r="F332" i="2"/>
  <c r="F330" i="2"/>
  <c r="C409" i="2"/>
  <c r="C401" i="2"/>
  <c r="C393" i="2"/>
  <c r="C385" i="2"/>
  <c r="C377" i="2"/>
  <c r="C369" i="2"/>
  <c r="C361" i="2"/>
  <c r="F358" i="2"/>
  <c r="C358" i="2"/>
  <c r="C356" i="2"/>
  <c r="C354" i="2"/>
  <c r="C352" i="2"/>
  <c r="C350" i="2"/>
  <c r="C348" i="2"/>
  <c r="C346" i="2"/>
  <c r="C344" i="2"/>
  <c r="C342" i="2"/>
  <c r="C340" i="2"/>
  <c r="C338" i="2"/>
  <c r="C336" i="2"/>
  <c r="C334" i="2"/>
  <c r="C332" i="2"/>
  <c r="C411" i="2"/>
  <c r="C395" i="2"/>
  <c r="C379" i="2"/>
  <c r="C363" i="2"/>
  <c r="C330" i="2"/>
  <c r="C329" i="2"/>
  <c r="C327" i="2"/>
  <c r="C325" i="2"/>
  <c r="C323" i="2"/>
  <c r="C321" i="2"/>
  <c r="C319" i="2"/>
  <c r="C317" i="2"/>
  <c r="C315" i="2"/>
  <c r="C313" i="2"/>
  <c r="C311" i="2"/>
  <c r="C309" i="2"/>
  <c r="C307" i="2"/>
  <c r="C305" i="2"/>
  <c r="C303" i="2"/>
  <c r="C301" i="2"/>
  <c r="C299" i="2"/>
  <c r="C297" i="2"/>
  <c r="C295" i="2"/>
  <c r="C293" i="2"/>
  <c r="C410" i="2"/>
  <c r="C394" i="2"/>
  <c r="C378" i="2"/>
  <c r="C362" i="2"/>
  <c r="F328" i="2"/>
  <c r="F326" i="2"/>
  <c r="F324" i="2"/>
  <c r="F322" i="2"/>
  <c r="F320" i="2"/>
  <c r="F318" i="2"/>
  <c r="F316" i="2"/>
  <c r="F314" i="2"/>
  <c r="F312" i="2"/>
  <c r="F310" i="2"/>
  <c r="F308" i="2"/>
  <c r="F306" i="2"/>
  <c r="F304" i="2"/>
  <c r="F302" i="2"/>
  <c r="F300" i="2"/>
  <c r="F298" i="2"/>
  <c r="C359" i="2"/>
  <c r="C403" i="2"/>
  <c r="C387" i="2"/>
  <c r="C371" i="2"/>
  <c r="C386" i="2"/>
  <c r="C302" i="2"/>
  <c r="F299" i="2"/>
  <c r="F294" i="2"/>
  <c r="F293" i="2"/>
  <c r="C292" i="2"/>
  <c r="C286" i="2"/>
  <c r="C285" i="2"/>
  <c r="F284" i="2"/>
  <c r="F289" i="2"/>
  <c r="C278" i="2"/>
  <c r="C276" i="2"/>
  <c r="C274" i="2"/>
  <c r="C272" i="2"/>
  <c r="C270" i="2"/>
  <c r="C268" i="2"/>
  <c r="C266" i="2"/>
  <c r="C264" i="2"/>
  <c r="C262" i="2"/>
  <c r="C260" i="2"/>
  <c r="C258" i="2"/>
  <c r="C256" i="2"/>
  <c r="C254" i="2"/>
  <c r="C252" i="2"/>
  <c r="C250" i="2"/>
  <c r="C402" i="2"/>
  <c r="F296" i="2"/>
  <c r="F295" i="2"/>
  <c r="C294" i="2"/>
  <c r="C290" i="2"/>
  <c r="C289" i="2"/>
  <c r="F288" i="2"/>
  <c r="F283" i="2"/>
  <c r="C280" i="2"/>
  <c r="F279" i="2"/>
  <c r="F277" i="2"/>
  <c r="F275" i="2"/>
  <c r="F273" i="2"/>
  <c r="F271" i="2"/>
  <c r="F269" i="2"/>
  <c r="F267" i="2"/>
  <c r="F265" i="2"/>
  <c r="F263" i="2"/>
  <c r="F261" i="2"/>
  <c r="F259" i="2"/>
  <c r="F257" i="2"/>
  <c r="F255" i="2"/>
  <c r="F253" i="2"/>
  <c r="F329" i="2"/>
  <c r="F327" i="2"/>
  <c r="F325" i="2"/>
  <c r="F323" i="2"/>
  <c r="F321" i="2"/>
  <c r="F319" i="2"/>
  <c r="F317" i="2"/>
  <c r="F315" i="2"/>
  <c r="F313" i="2"/>
  <c r="F311" i="2"/>
  <c r="F309" i="2"/>
  <c r="F307" i="2"/>
  <c r="F305" i="2"/>
  <c r="F303" i="2"/>
  <c r="C300" i="2"/>
  <c r="C284" i="2"/>
  <c r="C283" i="2"/>
  <c r="F282" i="2"/>
  <c r="F297" i="2"/>
  <c r="C296" i="2"/>
  <c r="F287" i="2"/>
  <c r="F301" i="2"/>
  <c r="C288" i="2"/>
  <c r="C287" i="2"/>
  <c r="F286" i="2"/>
  <c r="F281" i="2"/>
  <c r="C279" i="2"/>
  <c r="C277" i="2"/>
  <c r="C275" i="2"/>
  <c r="C273" i="2"/>
  <c r="C271" i="2"/>
  <c r="C269" i="2"/>
  <c r="C328" i="2"/>
  <c r="C312" i="2"/>
  <c r="C298" i="2"/>
  <c r="C281" i="2"/>
  <c r="F274" i="2"/>
  <c r="F268" i="2"/>
  <c r="F264" i="2"/>
  <c r="F260" i="2"/>
  <c r="F256" i="2"/>
  <c r="F248" i="2"/>
  <c r="F246" i="2"/>
  <c r="F244" i="2"/>
  <c r="F242" i="2"/>
  <c r="F240" i="2"/>
  <c r="F238" i="2"/>
  <c r="F236" i="2"/>
  <c r="F234" i="2"/>
  <c r="F232" i="2"/>
  <c r="F230" i="2"/>
  <c r="F228" i="2"/>
  <c r="F226" i="2"/>
  <c r="F224" i="2"/>
  <c r="F222" i="2"/>
  <c r="F220" i="2"/>
  <c r="F218" i="2"/>
  <c r="F216" i="2"/>
  <c r="F214" i="2"/>
  <c r="F212" i="2"/>
  <c r="F210" i="2"/>
  <c r="F208" i="2"/>
  <c r="F206" i="2"/>
  <c r="F204" i="2"/>
  <c r="F202" i="2"/>
  <c r="C370" i="2"/>
  <c r="C322" i="2"/>
  <c r="C306" i="2"/>
  <c r="F291" i="2"/>
  <c r="F276" i="2"/>
  <c r="C316" i="2"/>
  <c r="C291" i="2"/>
  <c r="F278" i="2"/>
  <c r="F252" i="2"/>
  <c r="F251" i="2"/>
  <c r="C326" i="2"/>
  <c r="C310" i="2"/>
  <c r="C265" i="2"/>
  <c r="C261" i="2"/>
  <c r="C257" i="2"/>
  <c r="C248" i="2"/>
  <c r="C246" i="2"/>
  <c r="C244" i="2"/>
  <c r="C242" i="2"/>
  <c r="C240" i="2"/>
  <c r="C238" i="2"/>
  <c r="C236" i="2"/>
  <c r="C234" i="2"/>
  <c r="C232" i="2"/>
  <c r="C230" i="2"/>
  <c r="C228" i="2"/>
  <c r="C226" i="2"/>
  <c r="C224" i="2"/>
  <c r="C222" i="2"/>
  <c r="C320" i="2"/>
  <c r="C304" i="2"/>
  <c r="F280" i="2"/>
  <c r="F266" i="2"/>
  <c r="F262" i="2"/>
  <c r="F258" i="2"/>
  <c r="F254" i="2"/>
  <c r="C253" i="2"/>
  <c r="F250" i="2"/>
  <c r="F249" i="2"/>
  <c r="F247" i="2"/>
  <c r="F245" i="2"/>
  <c r="F243" i="2"/>
  <c r="F241" i="2"/>
  <c r="F239" i="2"/>
  <c r="F237" i="2"/>
  <c r="F235" i="2"/>
  <c r="F233" i="2"/>
  <c r="F231" i="2"/>
  <c r="F229" i="2"/>
  <c r="F227" i="2"/>
  <c r="F225" i="2"/>
  <c r="F223" i="2"/>
  <c r="F221" i="2"/>
  <c r="F219" i="2"/>
  <c r="F217" i="2"/>
  <c r="F215" i="2"/>
  <c r="F213" i="2"/>
  <c r="F211" i="2"/>
  <c r="C314" i="2"/>
  <c r="F290" i="2"/>
  <c r="F285" i="2"/>
  <c r="C282" i="2"/>
  <c r="C251" i="2"/>
  <c r="C259" i="2"/>
  <c r="C220" i="2"/>
  <c r="C219" i="2"/>
  <c r="C203" i="2"/>
  <c r="C202" i="2"/>
  <c r="F201" i="2"/>
  <c r="F199" i="2"/>
  <c r="F197" i="2"/>
  <c r="F195" i="2"/>
  <c r="F193" i="2"/>
  <c r="F191" i="2"/>
  <c r="F189" i="2"/>
  <c r="F187" i="2"/>
  <c r="F185" i="2"/>
  <c r="F183" i="2"/>
  <c r="F181" i="2"/>
  <c r="F179" i="2"/>
  <c r="F177" i="2"/>
  <c r="F175" i="2"/>
  <c r="F173" i="2"/>
  <c r="F171" i="2"/>
  <c r="F169" i="2"/>
  <c r="F167" i="2"/>
  <c r="F165" i="2"/>
  <c r="F163" i="2"/>
  <c r="F161" i="2"/>
  <c r="F159" i="2"/>
  <c r="F157" i="2"/>
  <c r="F155" i="2"/>
  <c r="F153" i="2"/>
  <c r="F151" i="2"/>
  <c r="F149" i="2"/>
  <c r="F147" i="2"/>
  <c r="F145" i="2"/>
  <c r="F143" i="2"/>
  <c r="F141" i="2"/>
  <c r="F139" i="2"/>
  <c r="F137" i="2"/>
  <c r="F135" i="2"/>
  <c r="F133" i="2"/>
  <c r="F131" i="2"/>
  <c r="F129" i="2"/>
  <c r="C308" i="2"/>
  <c r="C255" i="2"/>
  <c r="F209" i="2"/>
  <c r="F207" i="2"/>
  <c r="C249" i="2"/>
  <c r="C247" i="2"/>
  <c r="C245" i="2"/>
  <c r="C243" i="2"/>
  <c r="C241" i="2"/>
  <c r="C239" i="2"/>
  <c r="C237" i="2"/>
  <c r="C235" i="2"/>
  <c r="C233" i="2"/>
  <c r="C231" i="2"/>
  <c r="C229" i="2"/>
  <c r="C227" i="2"/>
  <c r="C225" i="2"/>
  <c r="C223" i="2"/>
  <c r="C216" i="2"/>
  <c r="C215" i="2"/>
  <c r="C210" i="2"/>
  <c r="C208" i="2"/>
  <c r="C206" i="2"/>
  <c r="F205" i="2"/>
  <c r="C201" i="2"/>
  <c r="C199" i="2"/>
  <c r="C197" i="2"/>
  <c r="C195" i="2"/>
  <c r="C193" i="2"/>
  <c r="C191" i="2"/>
  <c r="C189" i="2"/>
  <c r="C187" i="2"/>
  <c r="C185" i="2"/>
  <c r="C183" i="2"/>
  <c r="C181" i="2"/>
  <c r="C179" i="2"/>
  <c r="C177" i="2"/>
  <c r="C175" i="2"/>
  <c r="C173" i="2"/>
  <c r="C171" i="2"/>
  <c r="C169" i="2"/>
  <c r="C167" i="2"/>
  <c r="C165" i="2"/>
  <c r="C163" i="2"/>
  <c r="C161" i="2"/>
  <c r="C159" i="2"/>
  <c r="C157" i="2"/>
  <c r="C155" i="2"/>
  <c r="C153" i="2"/>
  <c r="F272" i="2"/>
  <c r="C221" i="2"/>
  <c r="C212" i="2"/>
  <c r="C211" i="2"/>
  <c r="C209" i="2"/>
  <c r="C207" i="2"/>
  <c r="F200" i="2"/>
  <c r="F198" i="2"/>
  <c r="F196" i="2"/>
  <c r="F194" i="2"/>
  <c r="F192" i="2"/>
  <c r="F190" i="2"/>
  <c r="F188" i="2"/>
  <c r="F186" i="2"/>
  <c r="F184" i="2"/>
  <c r="F182" i="2"/>
  <c r="F180" i="2"/>
  <c r="F178" i="2"/>
  <c r="F176" i="2"/>
  <c r="F174" i="2"/>
  <c r="F172" i="2"/>
  <c r="F170" i="2"/>
  <c r="F168" i="2"/>
  <c r="F166" i="2"/>
  <c r="F164" i="2"/>
  <c r="F162" i="2"/>
  <c r="F160" i="2"/>
  <c r="F158" i="2"/>
  <c r="F156" i="2"/>
  <c r="F154" i="2"/>
  <c r="F152" i="2"/>
  <c r="F150" i="2"/>
  <c r="F148" i="2"/>
  <c r="F292" i="2"/>
  <c r="C218" i="2"/>
  <c r="C217" i="2"/>
  <c r="C205" i="2"/>
  <c r="C204" i="2"/>
  <c r="F203" i="2"/>
  <c r="C263" i="2"/>
  <c r="C151" i="2"/>
  <c r="C150" i="2"/>
  <c r="F146" i="2"/>
  <c r="F144" i="2"/>
  <c r="F142" i="2"/>
  <c r="F140" i="2"/>
  <c r="F138" i="2"/>
  <c r="C134" i="2"/>
  <c r="C133" i="2"/>
  <c r="F132" i="2"/>
  <c r="C126" i="2"/>
  <c r="C124" i="2"/>
  <c r="C122" i="2"/>
  <c r="C120" i="2"/>
  <c r="C118" i="2"/>
  <c r="C116" i="2"/>
  <c r="C114" i="2"/>
  <c r="C112" i="2"/>
  <c r="C110" i="2"/>
  <c r="C108" i="2"/>
  <c r="C106" i="2"/>
  <c r="C104" i="2"/>
  <c r="C102" i="2"/>
  <c r="C100" i="2"/>
  <c r="C98" i="2"/>
  <c r="C96" i="2"/>
  <c r="C94" i="2"/>
  <c r="C92" i="2"/>
  <c r="C90" i="2"/>
  <c r="C88" i="2"/>
  <c r="C86" i="2"/>
  <c r="C84" i="2"/>
  <c r="C82" i="2"/>
  <c r="C80" i="2"/>
  <c r="C78" i="2"/>
  <c r="C76" i="2"/>
  <c r="C74" i="2"/>
  <c r="C72" i="2"/>
  <c r="C70" i="2"/>
  <c r="C68" i="2"/>
  <c r="C66" i="2"/>
  <c r="C64" i="2"/>
  <c r="C62" i="2"/>
  <c r="C60" i="2"/>
  <c r="C58" i="2"/>
  <c r="C145" i="2"/>
  <c r="C143" i="2"/>
  <c r="C141" i="2"/>
  <c r="C139" i="2"/>
  <c r="C128" i="2"/>
  <c r="F127" i="2"/>
  <c r="F125" i="2"/>
  <c r="F123" i="2"/>
  <c r="F121" i="2"/>
  <c r="F119" i="2"/>
  <c r="F117" i="2"/>
  <c r="F115" i="2"/>
  <c r="F113" i="2"/>
  <c r="F111" i="2"/>
  <c r="F109" i="2"/>
  <c r="F107" i="2"/>
  <c r="F105" i="2"/>
  <c r="F103" i="2"/>
  <c r="F101" i="2"/>
  <c r="F99" i="2"/>
  <c r="F97" i="2"/>
  <c r="F95" i="2"/>
  <c r="F93" i="2"/>
  <c r="F91" i="2"/>
  <c r="F89" i="2"/>
  <c r="F87" i="2"/>
  <c r="F85" i="2"/>
  <c r="F83" i="2"/>
  <c r="F81" i="2"/>
  <c r="F79" i="2"/>
  <c r="F77" i="2"/>
  <c r="F75" i="2"/>
  <c r="F73" i="2"/>
  <c r="F71" i="2"/>
  <c r="F69" i="2"/>
  <c r="F67" i="2"/>
  <c r="F65" i="2"/>
  <c r="F63" i="2"/>
  <c r="F61" i="2"/>
  <c r="F59" i="2"/>
  <c r="F57" i="2"/>
  <c r="C267" i="2"/>
  <c r="C200" i="2"/>
  <c r="C198" i="2"/>
  <c r="C196" i="2"/>
  <c r="C194" i="2"/>
  <c r="C192" i="2"/>
  <c r="C190" i="2"/>
  <c r="C188" i="2"/>
  <c r="C186" i="2"/>
  <c r="C184" i="2"/>
  <c r="C182" i="2"/>
  <c r="C180" i="2"/>
  <c r="C178" i="2"/>
  <c r="C176" i="2"/>
  <c r="C174" i="2"/>
  <c r="C172" i="2"/>
  <c r="C170" i="2"/>
  <c r="C168" i="2"/>
  <c r="C166" i="2"/>
  <c r="C164" i="2"/>
  <c r="C162" i="2"/>
  <c r="C160" i="2"/>
  <c r="C158" i="2"/>
  <c r="C156" i="2"/>
  <c r="C154" i="2"/>
  <c r="C147" i="2"/>
  <c r="C137" i="2"/>
  <c r="F136" i="2"/>
  <c r="C318" i="2"/>
  <c r="C146" i="2"/>
  <c r="C144" i="2"/>
  <c r="C142" i="2"/>
  <c r="C140" i="2"/>
  <c r="C138" i="2"/>
  <c r="C132" i="2"/>
  <c r="C131" i="2"/>
  <c r="F130" i="2"/>
  <c r="C324" i="2"/>
  <c r="C214" i="2"/>
  <c r="C152" i="2"/>
  <c r="C127" i="2"/>
  <c r="C125" i="2"/>
  <c r="C123" i="2"/>
  <c r="C121" i="2"/>
  <c r="C119" i="2"/>
  <c r="C117" i="2"/>
  <c r="C115" i="2"/>
  <c r="C113" i="2"/>
  <c r="C111" i="2"/>
  <c r="C109" i="2"/>
  <c r="C107" i="2"/>
  <c r="C105" i="2"/>
  <c r="C103" i="2"/>
  <c r="C101" i="2"/>
  <c r="C99" i="2"/>
  <c r="C97" i="2"/>
  <c r="C95" i="2"/>
  <c r="C93" i="2"/>
  <c r="C91" i="2"/>
  <c r="C89" i="2"/>
  <c r="C87" i="2"/>
  <c r="C85" i="2"/>
  <c r="C83" i="2"/>
  <c r="C81" i="2"/>
  <c r="C79" i="2"/>
  <c r="C77" i="2"/>
  <c r="C75" i="2"/>
  <c r="C73" i="2"/>
  <c r="C71" i="2"/>
  <c r="C69" i="2"/>
  <c r="C67" i="2"/>
  <c r="C65" i="2"/>
  <c r="C63" i="2"/>
  <c r="C61" i="2"/>
  <c r="C59" i="2"/>
  <c r="C57" i="2"/>
  <c r="C55" i="2"/>
  <c r="C53" i="2"/>
  <c r="C149" i="2"/>
  <c r="C148" i="2"/>
  <c r="C136" i="2"/>
  <c r="C135" i="2"/>
  <c r="F134" i="2"/>
  <c r="F126" i="2"/>
  <c r="F124" i="2"/>
  <c r="F122" i="2"/>
  <c r="F120" i="2"/>
  <c r="F118" i="2"/>
  <c r="F116" i="2"/>
  <c r="F114" i="2"/>
  <c r="F112" i="2"/>
  <c r="F110" i="2"/>
  <c r="F108" i="2"/>
  <c r="F106" i="2"/>
  <c r="F104" i="2"/>
  <c r="F102" i="2"/>
  <c r="F100" i="2"/>
  <c r="F98" i="2"/>
  <c r="F96" i="2"/>
  <c r="F94" i="2"/>
  <c r="F92" i="2"/>
  <c r="F90" i="2"/>
  <c r="F88" i="2"/>
  <c r="F86" i="2"/>
  <c r="F84" i="2"/>
  <c r="F82" i="2"/>
  <c r="F80" i="2"/>
  <c r="F78" i="2"/>
  <c r="F76" i="2"/>
  <c r="F74" i="2"/>
  <c r="F72" i="2"/>
  <c r="F70" i="2"/>
  <c r="F68" i="2"/>
  <c r="C213" i="2"/>
  <c r="F64" i="2"/>
  <c r="F60" i="2"/>
  <c r="F51" i="2"/>
  <c r="C130" i="2"/>
  <c r="C52" i="2"/>
  <c r="F56" i="2"/>
  <c r="C51" i="2"/>
  <c r="C49" i="2"/>
  <c r="C47" i="2"/>
  <c r="C45" i="2"/>
  <c r="C43" i="2"/>
  <c r="C41" i="2"/>
  <c r="C39" i="2"/>
  <c r="C37" i="2"/>
  <c r="C35" i="2"/>
  <c r="C33" i="2"/>
  <c r="C31" i="2"/>
  <c r="C29" i="2"/>
  <c r="C27" i="2"/>
  <c r="C25" i="2"/>
  <c r="C23" i="2"/>
  <c r="C21" i="2"/>
  <c r="C19" i="2"/>
  <c r="C17" i="2"/>
  <c r="F270" i="2"/>
  <c r="F50" i="2"/>
  <c r="F48" i="2"/>
  <c r="F46" i="2"/>
  <c r="F44" i="2"/>
  <c r="F42" i="2"/>
  <c r="F40" i="2"/>
  <c r="F38" i="2"/>
  <c r="F36" i="2"/>
  <c r="F34" i="2"/>
  <c r="F32" i="2"/>
  <c r="F30" i="2"/>
  <c r="F28" i="2"/>
  <c r="F26" i="2"/>
  <c r="F24" i="2"/>
  <c r="F22" i="2"/>
  <c r="F20" i="2"/>
  <c r="F18" i="2"/>
  <c r="F16" i="2"/>
  <c r="C129" i="2"/>
  <c r="F66" i="2"/>
  <c r="F62" i="2"/>
  <c r="F58" i="2"/>
  <c r="F55" i="2"/>
  <c r="F54" i="2"/>
  <c r="C56" i="2"/>
  <c r="F53" i="2"/>
  <c r="F52" i="2"/>
  <c r="C50" i="2"/>
  <c r="C48" i="2"/>
  <c r="C46" i="2"/>
  <c r="C44" i="2"/>
  <c r="C42" i="2"/>
  <c r="C40" i="2"/>
  <c r="C38" i="2"/>
  <c r="C36" i="2"/>
  <c r="C34" i="2"/>
  <c r="C32" i="2"/>
  <c r="C30" i="2"/>
  <c r="F49" i="2"/>
  <c r="F33" i="2"/>
  <c r="F39" i="2"/>
  <c r="F45" i="2"/>
  <c r="F29" i="2"/>
  <c r="F27" i="2"/>
  <c r="F25" i="2"/>
  <c r="F23" i="2"/>
  <c r="F21" i="2"/>
  <c r="F19" i="2"/>
  <c r="F17" i="2"/>
  <c r="F35" i="2"/>
  <c r="F41" i="2"/>
  <c r="C54" i="2"/>
  <c r="F47" i="2"/>
  <c r="F31" i="2"/>
  <c r="F128" i="2"/>
  <c r="F37" i="2"/>
  <c r="C28" i="2"/>
  <c r="C26" i="2"/>
  <c r="C24" i="2"/>
  <c r="C22" i="2"/>
  <c r="C20" i="2"/>
  <c r="C18" i="2"/>
  <c r="C16" i="2"/>
  <c r="F43" i="2"/>
  <c r="B16" i="2"/>
  <c r="C45" i="1"/>
  <c r="C21" i="1"/>
  <c r="C34" i="1"/>
  <c r="C59" i="1"/>
  <c r="C28" i="1"/>
  <c r="C51" i="1"/>
  <c r="C67" i="1"/>
  <c r="H15" i="1"/>
  <c r="C29" i="1"/>
  <c r="C44" i="1"/>
  <c r="C18" i="1"/>
  <c r="C20" i="1"/>
  <c r="C27" i="1"/>
  <c r="C53" i="1"/>
  <c r="C69" i="1"/>
  <c r="M10" i="1"/>
  <c r="M11" i="1" s="1"/>
  <c r="C37" i="1"/>
  <c r="C42" i="1"/>
  <c r="C60" i="1"/>
  <c r="K15" i="2"/>
  <c r="D16" i="2" l="1"/>
  <c r="E16" i="2"/>
  <c r="G16" i="2" s="1"/>
  <c r="H16" i="2" s="1"/>
  <c r="J16" i="2" s="1"/>
  <c r="B17" i="1"/>
  <c r="I16" i="1"/>
  <c r="J16" i="1" s="1"/>
  <c r="D17" i="1" l="1"/>
  <c r="B17" i="2"/>
  <c r="K16" i="2"/>
  <c r="L16" i="2"/>
  <c r="M16" i="2" s="1"/>
  <c r="D17" i="2" l="1"/>
  <c r="E17" i="1"/>
  <c r="G17" i="1" s="1"/>
  <c r="H17" i="1" l="1"/>
  <c r="B18" i="1"/>
  <c r="I17" i="1"/>
  <c r="J17" i="1" s="1"/>
  <c r="E17" i="2"/>
  <c r="G17" i="2" s="1"/>
  <c r="H17" i="2" l="1"/>
  <c r="J17" i="2" s="1"/>
  <c r="B18" i="2" s="1"/>
  <c r="L17" i="2"/>
  <c r="M17" i="2" s="1"/>
  <c r="D18" i="1"/>
  <c r="D18" i="2" l="1"/>
  <c r="E18" i="1"/>
  <c r="G18" i="1" s="1"/>
  <c r="K17" i="2"/>
  <c r="H18" i="1" l="1"/>
  <c r="B19" i="1"/>
  <c r="I18" i="1"/>
  <c r="J18" i="1" s="1"/>
  <c r="E18" i="2"/>
  <c r="G18" i="2" s="1"/>
  <c r="H18" i="2" s="1"/>
  <c r="J18" i="2" s="1"/>
  <c r="K18" i="2" l="1"/>
  <c r="L18" i="2"/>
  <c r="M18" i="2" s="1"/>
  <c r="D19" i="1"/>
  <c r="B19" i="2"/>
  <c r="E19" i="1" l="1"/>
  <c r="G19" i="1" s="1"/>
  <c r="D19" i="2"/>
  <c r="E19" i="2" l="1"/>
  <c r="G19" i="2" s="1"/>
  <c r="H19" i="1"/>
  <c r="B20" i="1"/>
  <c r="I19" i="1"/>
  <c r="J19" i="1" s="1"/>
  <c r="H19" i="2" l="1"/>
  <c r="J19" i="2" s="1"/>
  <c r="L19" i="2" s="1"/>
  <c r="M19" i="2" s="1"/>
  <c r="D20" i="1"/>
  <c r="B20" i="2" l="1"/>
  <c r="K19" i="2"/>
  <c r="D20" i="2"/>
  <c r="E20" i="1"/>
  <c r="G20" i="1" s="1"/>
  <c r="H20" i="1" l="1"/>
  <c r="B21" i="1"/>
  <c r="I20" i="1"/>
  <c r="J20" i="1" s="1"/>
  <c r="E20" i="2"/>
  <c r="G20" i="2" s="1"/>
  <c r="D21" i="1" l="1"/>
  <c r="H20" i="2"/>
  <c r="J20" i="2" s="1"/>
  <c r="K20" i="2" s="1"/>
  <c r="L20" i="2" l="1"/>
  <c r="M20" i="2" s="1"/>
  <c r="E21" i="1"/>
  <c r="G21" i="1" s="1"/>
  <c r="B21" i="2"/>
  <c r="H21" i="1" l="1"/>
  <c r="B22" i="1"/>
  <c r="I21" i="1"/>
  <c r="J21" i="1" s="1"/>
  <c r="D21" i="2"/>
  <c r="D22" i="1" l="1"/>
  <c r="E21" i="2"/>
  <c r="G21" i="2" s="1"/>
  <c r="H21" i="2" l="1"/>
  <c r="J21" i="2" s="1"/>
  <c r="L21" i="2" s="1"/>
  <c r="M21" i="2" s="1"/>
  <c r="E22" i="1"/>
  <c r="G22" i="1" s="1"/>
  <c r="H22" i="1" l="1"/>
  <c r="B23" i="1"/>
  <c r="I22" i="1"/>
  <c r="J22" i="1" s="1"/>
  <c r="B22" i="2"/>
  <c r="D22" i="2" s="1"/>
  <c r="K21" i="2"/>
  <c r="E22" i="2" l="1"/>
  <c r="G22" i="2" s="1"/>
  <c r="D23" i="1"/>
  <c r="E23" i="1" l="1"/>
  <c r="G23" i="1" s="1"/>
  <c r="I23" i="1" s="1"/>
  <c r="J23" i="1" s="1"/>
  <c r="H22" i="2"/>
  <c r="J22" i="2" s="1"/>
  <c r="L22" i="2" s="1"/>
  <c r="M22" i="2" s="1"/>
  <c r="K22" i="2" l="1"/>
  <c r="B23" i="2"/>
  <c r="D23" i="2" s="1"/>
  <c r="H23" i="1"/>
  <c r="B24" i="1"/>
  <c r="D24" i="1" s="1"/>
  <c r="E24" i="1" l="1"/>
  <c r="G24" i="1" s="1"/>
  <c r="E23" i="2"/>
  <c r="G23" i="2" s="1"/>
  <c r="H23" i="2" s="1"/>
  <c r="J23" i="2" s="1"/>
  <c r="B24" i="2" s="1"/>
  <c r="L23" i="2" l="1"/>
  <c r="M23" i="2" s="1"/>
  <c r="D24" i="2" s="1"/>
  <c r="K23" i="2"/>
  <c r="H24" i="1"/>
  <c r="B25" i="1"/>
  <c r="I24" i="1"/>
  <c r="J24" i="1" s="1"/>
  <c r="E24" i="2" l="1"/>
  <c r="G24" i="2" s="1"/>
  <c r="D25" i="1"/>
  <c r="E25" i="1" l="1"/>
  <c r="G25" i="1" s="1"/>
  <c r="H24" i="2"/>
  <c r="J24" i="2" s="1"/>
  <c r="L24" i="2" s="1"/>
  <c r="M24" i="2" s="1"/>
  <c r="B25" i="2" l="1"/>
  <c r="D25" i="2" s="1"/>
  <c r="K24" i="2"/>
  <c r="H25" i="1"/>
  <c r="B26" i="1"/>
  <c r="I25" i="1"/>
  <c r="J25" i="1" s="1"/>
  <c r="E25" i="2" l="1"/>
  <c r="G25" i="2" s="1"/>
  <c r="D26" i="1"/>
  <c r="H25" i="2" l="1"/>
  <c r="J25" i="2" s="1"/>
  <c r="B26" i="2" s="1"/>
  <c r="K25" i="2"/>
  <c r="E26" i="1"/>
  <c r="G26" i="1" s="1"/>
  <c r="I26" i="1" s="1"/>
  <c r="J26" i="1" s="1"/>
  <c r="L25" i="2" l="1"/>
  <c r="M25" i="2" s="1"/>
  <c r="D26" i="2" s="1"/>
  <c r="E26" i="2" s="1"/>
  <c r="G26" i="2" s="1"/>
  <c r="H26" i="1"/>
  <c r="B27" i="1"/>
  <c r="D27" i="1" s="1"/>
  <c r="H26" i="2" l="1"/>
  <c r="J26" i="2" s="1"/>
  <c r="B27" i="2" s="1"/>
  <c r="E27" i="1"/>
  <c r="G27" i="1" s="1"/>
  <c r="K26" i="2" l="1"/>
  <c r="L26" i="2"/>
  <c r="M26" i="2" s="1"/>
  <c r="D27" i="2" s="1"/>
  <c r="E27" i="2" s="1"/>
  <c r="G27" i="2" s="1"/>
  <c r="H27" i="1"/>
  <c r="B28" i="1"/>
  <c r="I27" i="1"/>
  <c r="J27" i="1" s="1"/>
  <c r="D28" i="1" l="1"/>
  <c r="H27" i="2"/>
  <c r="J27" i="2" s="1"/>
  <c r="L27" i="2" s="1"/>
  <c r="M27" i="2" s="1"/>
  <c r="K27" i="2"/>
  <c r="B28" i="2" l="1"/>
  <c r="D28" i="2" s="1"/>
  <c r="E28" i="1"/>
  <c r="G28" i="1" s="1"/>
  <c r="I28" i="1" s="1"/>
  <c r="J28" i="1" s="1"/>
  <c r="E28" i="2" l="1"/>
  <c r="G28" i="2" s="1"/>
  <c r="H28" i="1"/>
  <c r="B29" i="1"/>
  <c r="D29" i="1" s="1"/>
  <c r="E29" i="1" l="1"/>
  <c r="G29" i="1" s="1"/>
  <c r="H28" i="2"/>
  <c r="J28" i="2" s="1"/>
  <c r="B29" i="2" s="1"/>
  <c r="K28" i="2" l="1"/>
  <c r="L28" i="2"/>
  <c r="M28" i="2" s="1"/>
  <c r="H29" i="1"/>
  <c r="B30" i="1"/>
  <c r="I29" i="1"/>
  <c r="J29" i="1" s="1"/>
  <c r="D30" i="1" l="1"/>
  <c r="D29" i="2"/>
  <c r="E29" i="2" l="1"/>
  <c r="G29" i="2" s="1"/>
  <c r="E30" i="1"/>
  <c r="G30" i="1" s="1"/>
  <c r="H30" i="1" l="1"/>
  <c r="B31" i="1"/>
  <c r="I30" i="1"/>
  <c r="J30" i="1" s="1"/>
  <c r="H29" i="2"/>
  <c r="J29" i="2" s="1"/>
  <c r="L29" i="2" s="1"/>
  <c r="M29" i="2" s="1"/>
  <c r="K29" i="2" l="1"/>
  <c r="B30" i="2"/>
  <c r="D30" i="2" s="1"/>
  <c r="D31" i="1"/>
  <c r="E30" i="2" l="1"/>
  <c r="G30" i="2" s="1"/>
  <c r="E31" i="1"/>
  <c r="G31" i="1" s="1"/>
  <c r="I31" i="1" s="1"/>
  <c r="J31" i="1" s="1"/>
  <c r="H31" i="1" l="1"/>
  <c r="B32" i="1"/>
  <c r="D32" i="1" s="1"/>
  <c r="H30" i="2"/>
  <c r="J30" i="2" s="1"/>
  <c r="B31" i="2" s="1"/>
  <c r="K30" i="2" l="1"/>
  <c r="L30" i="2"/>
  <c r="M30" i="2" s="1"/>
  <c r="D31" i="2" s="1"/>
  <c r="E32" i="1"/>
  <c r="G32" i="1" s="1"/>
  <c r="H32" i="1" l="1"/>
  <c r="B33" i="1"/>
  <c r="E31" i="2"/>
  <c r="G31" i="2" s="1"/>
  <c r="I32" i="1"/>
  <c r="J32" i="1" s="1"/>
  <c r="H31" i="2" l="1"/>
  <c r="J31" i="2" s="1"/>
  <c r="B32" i="2" s="1"/>
  <c r="K31" i="2"/>
  <c r="D33" i="1"/>
  <c r="E33" i="1" l="1"/>
  <c r="G33" i="1" s="1"/>
  <c r="L31" i="2"/>
  <c r="M31" i="2" s="1"/>
  <c r="H33" i="1" l="1"/>
  <c r="B34" i="1"/>
  <c r="D32" i="2"/>
  <c r="I33" i="1"/>
  <c r="J33" i="1" s="1"/>
  <c r="D34" i="1" l="1"/>
  <c r="E32" i="2"/>
  <c r="G32" i="2" s="1"/>
  <c r="H32" i="2"/>
  <c r="J32" i="2" s="1"/>
  <c r="L32" i="2" l="1"/>
  <c r="M32" i="2" s="1"/>
  <c r="K32" i="2"/>
  <c r="B33" i="2"/>
  <c r="E34" i="1"/>
  <c r="G34" i="1" s="1"/>
  <c r="D33" i="2" l="1"/>
  <c r="E33" i="2"/>
  <c r="G33" i="2" s="1"/>
  <c r="H34" i="1"/>
  <c r="B35" i="1"/>
  <c r="I34" i="1"/>
  <c r="J34" i="1" s="1"/>
  <c r="H33" i="2" l="1"/>
  <c r="J33" i="2" s="1"/>
  <c r="L33" i="2" s="1"/>
  <c r="M33" i="2" s="1"/>
  <c r="K33" i="2"/>
  <c r="D35" i="1"/>
  <c r="B34" i="2" l="1"/>
  <c r="D34" i="2" s="1"/>
  <c r="E35" i="1"/>
  <c r="G35" i="1" s="1"/>
  <c r="H35" i="1" l="1"/>
  <c r="B36" i="1"/>
  <c r="I35" i="1"/>
  <c r="J35" i="1" s="1"/>
  <c r="E34" i="2"/>
  <c r="G34" i="2" s="1"/>
  <c r="H34" i="2" s="1"/>
  <c r="J34" i="2" s="1"/>
  <c r="K34" i="2" l="1"/>
  <c r="L34" i="2"/>
  <c r="M34" i="2" s="1"/>
  <c r="B35" i="2"/>
  <c r="D36" i="1"/>
  <c r="E36" i="1" l="1"/>
  <c r="G36" i="1" s="1"/>
  <c r="D35" i="2"/>
  <c r="E35" i="2" l="1"/>
  <c r="G35" i="2" s="1"/>
  <c r="H36" i="1"/>
  <c r="B37" i="1"/>
  <c r="I36" i="1"/>
  <c r="J36" i="1" s="1"/>
  <c r="H35" i="2" l="1"/>
  <c r="J35" i="2" s="1"/>
  <c r="L35" i="2" s="1"/>
  <c r="M35" i="2" s="1"/>
  <c r="D37" i="1"/>
  <c r="E37" i="1" l="1"/>
  <c r="G37" i="1" s="1"/>
  <c r="K35" i="2"/>
  <c r="B36" i="2"/>
  <c r="D36" i="2" s="1"/>
  <c r="E36" i="2" l="1"/>
  <c r="G36" i="2" s="1"/>
  <c r="H37" i="1"/>
  <c r="B38" i="1"/>
  <c r="I37" i="1"/>
  <c r="J37" i="1" s="1"/>
  <c r="H36" i="2" l="1"/>
  <c r="J36" i="2" s="1"/>
  <c r="L36" i="2" s="1"/>
  <c r="M36" i="2" s="1"/>
  <c r="K36" i="2"/>
  <c r="D38" i="1"/>
  <c r="E38" i="1" l="1"/>
  <c r="G38" i="1" s="1"/>
  <c r="I38" i="1" s="1"/>
  <c r="J38" i="1" s="1"/>
  <c r="B37" i="2"/>
  <c r="D37" i="2" s="1"/>
  <c r="E37" i="2" l="1"/>
  <c r="G37" i="2" s="1"/>
  <c r="H38" i="1"/>
  <c r="B39" i="1"/>
  <c r="D39" i="1" s="1"/>
  <c r="H37" i="2" l="1"/>
  <c r="J37" i="2" s="1"/>
  <c r="B38" i="2" s="1"/>
  <c r="E39" i="1"/>
  <c r="G39" i="1" s="1"/>
  <c r="K37" i="2"/>
  <c r="H39" i="1" l="1"/>
  <c r="B40" i="1"/>
  <c r="I39" i="1"/>
  <c r="J39" i="1" s="1"/>
  <c r="L37" i="2"/>
  <c r="M37" i="2" s="1"/>
  <c r="D38" i="2" l="1"/>
  <c r="D40" i="1"/>
  <c r="E38" i="2" l="1"/>
  <c r="G38" i="2" s="1"/>
  <c r="E40" i="1"/>
  <c r="G40" i="1" s="1"/>
  <c r="I40" i="1" s="1"/>
  <c r="J40" i="1" s="1"/>
  <c r="H40" i="1" l="1"/>
  <c r="B41" i="1"/>
  <c r="D41" i="1" s="1"/>
  <c r="H38" i="2"/>
  <c r="J38" i="2" s="1"/>
  <c r="K38" i="2" s="1"/>
  <c r="B39" i="2" l="1"/>
  <c r="E41" i="1"/>
  <c r="G41" i="1" s="1"/>
  <c r="L38" i="2"/>
  <c r="M38" i="2" s="1"/>
  <c r="D39" i="2" l="1"/>
  <c r="H41" i="1"/>
  <c r="B42" i="1"/>
  <c r="I41" i="1"/>
  <c r="J41" i="1" s="1"/>
  <c r="E39" i="2" l="1"/>
  <c r="G39" i="2" s="1"/>
  <c r="H39" i="2"/>
  <c r="J39" i="2" s="1"/>
  <c r="D42" i="1"/>
  <c r="L39" i="2" l="1"/>
  <c r="M39" i="2" s="1"/>
  <c r="E42" i="1"/>
  <c r="G42" i="1" s="1"/>
  <c r="B40" i="2"/>
  <c r="D40" i="2" s="1"/>
  <c r="K39" i="2"/>
  <c r="E40" i="2" l="1"/>
  <c r="G40" i="2" s="1"/>
  <c r="H42" i="1"/>
  <c r="B43" i="1"/>
  <c r="I42" i="1"/>
  <c r="J42" i="1" s="1"/>
  <c r="H40" i="2" l="1"/>
  <c r="J40" i="2" s="1"/>
  <c r="L40" i="2" s="1"/>
  <c r="M40" i="2" s="1"/>
  <c r="D43" i="1"/>
  <c r="E43" i="1" l="1"/>
  <c r="G43" i="1" s="1"/>
  <c r="K40" i="2"/>
  <c r="B41" i="2"/>
  <c r="D41" i="2" s="1"/>
  <c r="E41" i="2" l="1"/>
  <c r="G41" i="2" s="1"/>
  <c r="H43" i="1"/>
  <c r="B44" i="1"/>
  <c r="I43" i="1"/>
  <c r="J43" i="1" s="1"/>
  <c r="H41" i="2" l="1"/>
  <c r="J41" i="2" s="1"/>
  <c r="L41" i="2" s="1"/>
  <c r="M41" i="2" s="1"/>
  <c r="D44" i="1"/>
  <c r="E44" i="1" l="1"/>
  <c r="G44" i="1" s="1"/>
  <c r="I44" i="1" s="1"/>
  <c r="J44" i="1" s="1"/>
  <c r="K41" i="2"/>
  <c r="B42" i="2"/>
  <c r="D42" i="2" s="1"/>
  <c r="E42" i="2" l="1"/>
  <c r="G42" i="2" s="1"/>
  <c r="H42" i="2" s="1"/>
  <c r="J42" i="2" s="1"/>
  <c r="H44" i="1"/>
  <c r="B45" i="1"/>
  <c r="D45" i="1" s="1"/>
  <c r="E45" i="1" s="1"/>
  <c r="G45" i="1" s="1"/>
  <c r="B43" i="2" l="1"/>
  <c r="L42" i="2"/>
  <c r="M42" i="2" s="1"/>
  <c r="D43" i="2" s="1"/>
  <c r="H45" i="1"/>
  <c r="B46" i="1"/>
  <c r="K42" i="2"/>
  <c r="I45" i="1"/>
  <c r="J45" i="1" s="1"/>
  <c r="E43" i="2" l="1"/>
  <c r="G43" i="2" s="1"/>
  <c r="H43" i="2"/>
  <c r="J43" i="2" s="1"/>
  <c r="D46" i="1"/>
  <c r="L43" i="2" l="1"/>
  <c r="M43" i="2" s="1"/>
  <c r="B44" i="2"/>
  <c r="K43" i="2"/>
  <c r="E46" i="1"/>
  <c r="G46" i="1" s="1"/>
  <c r="D44" i="2" l="1"/>
  <c r="E44" i="2"/>
  <c r="G44" i="2" s="1"/>
  <c r="H44" i="2"/>
  <c r="J44" i="2" s="1"/>
  <c r="B45" i="2"/>
  <c r="H46" i="1"/>
  <c r="B47" i="1"/>
  <c r="I46" i="1"/>
  <c r="J46" i="1" s="1"/>
  <c r="L44" i="2" l="1"/>
  <c r="M44" i="2" s="1"/>
  <c r="D45" i="2" s="1"/>
  <c r="K44" i="2"/>
  <c r="D47" i="1"/>
  <c r="E47" i="1" l="1"/>
  <c r="G47" i="1" s="1"/>
  <c r="E45" i="2"/>
  <c r="G45" i="2" s="1"/>
  <c r="H45" i="2" l="1"/>
  <c r="J45" i="2" s="1"/>
  <c r="K45" i="2" s="1"/>
  <c r="H47" i="1"/>
  <c r="B48" i="1"/>
  <c r="I47" i="1"/>
  <c r="J47" i="1" s="1"/>
  <c r="D48" i="1" l="1"/>
  <c r="G48" i="1"/>
  <c r="L45" i="2"/>
  <c r="M45" i="2" s="1"/>
  <c r="B46" i="2"/>
  <c r="D46" i="2" l="1"/>
  <c r="H48" i="1"/>
  <c r="B49" i="1"/>
  <c r="I48" i="1"/>
  <c r="J48" i="1" s="1"/>
  <c r="E48" i="1"/>
  <c r="D49" i="1" l="1"/>
  <c r="G49" i="1"/>
  <c r="E46" i="2"/>
  <c r="G46" i="2" s="1"/>
  <c r="H46" i="2" l="1"/>
  <c r="J46" i="2" s="1"/>
  <c r="L46" i="2" s="1"/>
  <c r="M46" i="2" s="1"/>
  <c r="H49" i="1"/>
  <c r="B50" i="1"/>
  <c r="I49" i="1"/>
  <c r="J49" i="1" s="1"/>
  <c r="E49" i="1"/>
  <c r="D50" i="1" l="1"/>
  <c r="G50" i="1"/>
  <c r="B47" i="2"/>
  <c r="D47" i="2" s="1"/>
  <c r="K46" i="2"/>
  <c r="E47" i="2" l="1"/>
  <c r="G47" i="2" s="1"/>
  <c r="I50" i="1"/>
  <c r="J50" i="1" s="1"/>
  <c r="E50" i="1"/>
  <c r="H50" i="1"/>
  <c r="B51" i="1"/>
  <c r="H47" i="2" l="1"/>
  <c r="J47" i="2" s="1"/>
  <c r="L47" i="2" s="1"/>
  <c r="M47" i="2" s="1"/>
  <c r="G51" i="1"/>
  <c r="D51" i="1"/>
  <c r="K47" i="2"/>
  <c r="B48" i="2" l="1"/>
  <c r="D48" i="2"/>
  <c r="I51" i="1"/>
  <c r="J51" i="1" s="1"/>
  <c r="E51" i="1"/>
  <c r="H51" i="1"/>
  <c r="B52" i="1"/>
  <c r="E48" i="2" l="1"/>
  <c r="G48" i="2" s="1"/>
  <c r="H48" i="2"/>
  <c r="J48" i="2" s="1"/>
  <c r="G52" i="1"/>
  <c r="D52" i="1"/>
  <c r="L48" i="2" l="1"/>
  <c r="M48" i="2" s="1"/>
  <c r="H52" i="1"/>
  <c r="B53" i="1"/>
  <c r="B49" i="2"/>
  <c r="I52" i="1"/>
  <c r="J52" i="1" s="1"/>
  <c r="E52" i="1"/>
  <c r="K48" i="2"/>
  <c r="D49" i="2" l="1"/>
  <c r="E49" i="2"/>
  <c r="G49" i="2" s="1"/>
  <c r="G53" i="1"/>
  <c r="D53" i="1"/>
  <c r="I53" i="1" l="1"/>
  <c r="J53" i="1" s="1"/>
  <c r="E53" i="1"/>
  <c r="H53" i="1"/>
  <c r="B54" i="1"/>
  <c r="H49" i="2"/>
  <c r="J49" i="2" s="1"/>
  <c r="L49" i="2" s="1"/>
  <c r="M49" i="2" s="1"/>
  <c r="B50" i="2" l="1"/>
  <c r="D50" i="2" s="1"/>
  <c r="D54" i="1"/>
  <c r="G54" i="1"/>
  <c r="K49" i="2"/>
  <c r="E50" i="2" l="1"/>
  <c r="G50" i="2" s="1"/>
  <c r="H54" i="1"/>
  <c r="B55" i="1"/>
  <c r="I54" i="1"/>
  <c r="J54" i="1" s="1"/>
  <c r="E54" i="1"/>
  <c r="H50" i="2" l="1"/>
  <c r="J50" i="2" s="1"/>
  <c r="L50" i="2" s="1"/>
  <c r="M50" i="2" s="1"/>
  <c r="K50" i="2"/>
  <c r="D55" i="1"/>
  <c r="G55" i="1"/>
  <c r="H55" i="1" l="1"/>
  <c r="B56" i="1"/>
  <c r="I55" i="1"/>
  <c r="J55" i="1" s="1"/>
  <c r="E55" i="1"/>
  <c r="B51" i="2"/>
  <c r="D51" i="2" s="1"/>
  <c r="E51" i="2" l="1"/>
  <c r="G51" i="2" s="1"/>
  <c r="D56" i="1"/>
  <c r="G56" i="1"/>
  <c r="I56" i="1" l="1"/>
  <c r="J56" i="1" s="1"/>
  <c r="E56" i="1"/>
  <c r="H56" i="1"/>
  <c r="B57" i="1"/>
  <c r="H51" i="2"/>
  <c r="J51" i="2" s="1"/>
  <c r="L51" i="2" s="1"/>
  <c r="M51" i="2" s="1"/>
  <c r="D57" i="1" l="1"/>
  <c r="G57" i="1"/>
  <c r="B52" i="2"/>
  <c r="D52" i="2" s="1"/>
  <c r="K51" i="2"/>
  <c r="E52" i="2" l="1"/>
  <c r="G52" i="2" s="1"/>
  <c r="H52" i="2"/>
  <c r="J52" i="2" s="1"/>
  <c r="H57" i="1"/>
  <c r="B58" i="1"/>
  <c r="I57" i="1"/>
  <c r="J57" i="1" s="1"/>
  <c r="E57" i="1"/>
  <c r="L52" i="2" l="1"/>
  <c r="M52" i="2" s="1"/>
  <c r="B53" i="2"/>
  <c r="D53" i="2" s="1"/>
  <c r="K52" i="2"/>
  <c r="D58" i="1"/>
  <c r="G58" i="1"/>
  <c r="E53" i="2" l="1"/>
  <c r="G53" i="2" s="1"/>
  <c r="I58" i="1"/>
  <c r="J58" i="1" s="1"/>
  <c r="E58" i="1"/>
  <c r="H58" i="1"/>
  <c r="B59" i="1"/>
  <c r="G59" i="1" l="1"/>
  <c r="D59" i="1"/>
  <c r="H53" i="2"/>
  <c r="J53" i="2" s="1"/>
  <c r="L53" i="2" s="1"/>
  <c r="M53" i="2" s="1"/>
  <c r="K53" i="2" l="1"/>
  <c r="I59" i="1"/>
  <c r="J59" i="1" s="1"/>
  <c r="E59" i="1"/>
  <c r="H59" i="1"/>
  <c r="B60" i="1"/>
  <c r="B54" i="2"/>
  <c r="D54" i="2" s="1"/>
  <c r="E54" i="2" l="1"/>
  <c r="G54" i="2" s="1"/>
  <c r="G60" i="1"/>
  <c r="D60" i="1"/>
  <c r="I60" i="1" l="1"/>
  <c r="J60" i="1" s="1"/>
  <c r="E60" i="1"/>
  <c r="H54" i="2"/>
  <c r="J54" i="2" s="1"/>
  <c r="B55" i="2" s="1"/>
  <c r="K54" i="2"/>
  <c r="H60" i="1"/>
  <c r="B61" i="1"/>
  <c r="G61" i="1" l="1"/>
  <c r="D61" i="1"/>
  <c r="L54" i="2"/>
  <c r="M54" i="2" s="1"/>
  <c r="D55" i="2" l="1"/>
  <c r="I61" i="1"/>
  <c r="J61" i="1" s="1"/>
  <c r="E61" i="1"/>
  <c r="H61" i="1"/>
  <c r="B62" i="1"/>
  <c r="D62" i="1" l="1"/>
  <c r="G62" i="1"/>
  <c r="E55" i="2"/>
  <c r="G55" i="2" s="1"/>
  <c r="H55" i="2"/>
  <c r="J55" i="2" s="1"/>
  <c r="B56" i="2" s="1"/>
  <c r="L55" i="2" l="1"/>
  <c r="M55" i="2" s="1"/>
  <c r="D56" i="2" s="1"/>
  <c r="K55" i="2"/>
  <c r="H62" i="1"/>
  <c r="B63" i="1"/>
  <c r="I62" i="1"/>
  <c r="J62" i="1" s="1"/>
  <c r="E62" i="1"/>
  <c r="E56" i="2" l="1"/>
  <c r="G56" i="2" s="1"/>
  <c r="D63" i="1"/>
  <c r="G63" i="1"/>
  <c r="H63" i="1" l="1"/>
  <c r="B64" i="1"/>
  <c r="I63" i="1"/>
  <c r="J63" i="1" s="1"/>
  <c r="E63" i="1"/>
  <c r="H56" i="2"/>
  <c r="J56" i="2" s="1"/>
  <c r="L56" i="2" s="1"/>
  <c r="M56" i="2" s="1"/>
  <c r="D64" i="1" l="1"/>
  <c r="G64" i="1"/>
  <c r="B57" i="2"/>
  <c r="D57" i="2" s="1"/>
  <c r="K56" i="2"/>
  <c r="E57" i="2" l="1"/>
  <c r="G57" i="2" s="1"/>
  <c r="H64" i="1"/>
  <c r="B65" i="1"/>
  <c r="I64" i="1"/>
  <c r="J64" i="1" s="1"/>
  <c r="E64" i="1"/>
  <c r="H57" i="2" l="1"/>
  <c r="J57" i="2" s="1"/>
  <c r="L57" i="2" s="1"/>
  <c r="M57" i="2" s="1"/>
  <c r="K57" i="2"/>
  <c r="B58" i="2"/>
  <c r="D65" i="1"/>
  <c r="G65" i="1"/>
  <c r="D58" i="2" l="1"/>
  <c r="H65" i="1"/>
  <c r="B66" i="1"/>
  <c r="I65" i="1"/>
  <c r="J65" i="1" s="1"/>
  <c r="E65" i="1"/>
  <c r="D66" i="1" l="1"/>
  <c r="G66" i="1"/>
  <c r="E58" i="2"/>
  <c r="G58" i="2" s="1"/>
  <c r="H58" i="2" l="1"/>
  <c r="J58" i="2" s="1"/>
  <c r="K58" i="2" s="1"/>
  <c r="H66" i="1"/>
  <c r="B67" i="1"/>
  <c r="I66" i="1"/>
  <c r="J66" i="1" s="1"/>
  <c r="E66" i="1"/>
  <c r="G67" i="1" l="1"/>
  <c r="D67" i="1"/>
  <c r="L58" i="2"/>
  <c r="M58" i="2" s="1"/>
  <c r="B59" i="2"/>
  <c r="D59" i="2" l="1"/>
  <c r="I67" i="1"/>
  <c r="J67" i="1" s="1"/>
  <c r="E67" i="1"/>
  <c r="H67" i="1"/>
  <c r="B68" i="1"/>
  <c r="G68" i="1" l="1"/>
  <c r="D68" i="1"/>
  <c r="E59" i="2"/>
  <c r="G59" i="2" s="1"/>
  <c r="H59" i="2" l="1"/>
  <c r="J59" i="2" s="1"/>
  <c r="L59" i="2" s="1"/>
  <c r="M59" i="2" s="1"/>
  <c r="I68" i="1"/>
  <c r="J68" i="1" s="1"/>
  <c r="E68" i="1"/>
  <c r="H68" i="1"/>
  <c r="B69" i="1"/>
  <c r="B60" i="2" l="1"/>
  <c r="D60" i="2" s="1"/>
  <c r="G69" i="1"/>
  <c r="D69" i="1"/>
  <c r="K59" i="2"/>
  <c r="E60" i="2" l="1"/>
  <c r="G60" i="2" s="1"/>
  <c r="I69" i="1"/>
  <c r="J69" i="1" s="1"/>
  <c r="E69" i="1"/>
  <c r="H69" i="1"/>
  <c r="B70" i="1"/>
  <c r="D70" i="1" l="1"/>
  <c r="G70" i="1"/>
  <c r="H60" i="2"/>
  <c r="J60" i="2" s="1"/>
  <c r="K60" i="2" s="1"/>
  <c r="L60" i="2" l="1"/>
  <c r="M60" i="2" s="1"/>
  <c r="B61" i="2"/>
  <c r="H70" i="1"/>
  <c r="B71" i="1"/>
  <c r="I70" i="1"/>
  <c r="J70" i="1" s="1"/>
  <c r="E70" i="1"/>
  <c r="D71" i="1" l="1"/>
  <c r="G71" i="1"/>
  <c r="D61" i="2"/>
  <c r="E61" i="2" l="1"/>
  <c r="G61" i="2" s="1"/>
  <c r="H71" i="1"/>
  <c r="B72" i="1"/>
  <c r="I71" i="1"/>
  <c r="J71" i="1" s="1"/>
  <c r="E71" i="1"/>
  <c r="H61" i="2" l="1"/>
  <c r="J61" i="2" s="1"/>
  <c r="L61" i="2" s="1"/>
  <c r="M61" i="2" s="1"/>
  <c r="K61" i="2"/>
  <c r="D72" i="1"/>
  <c r="G72" i="1"/>
  <c r="H72" i="1" l="1"/>
  <c r="B73" i="1"/>
  <c r="I72" i="1"/>
  <c r="J72" i="1" s="1"/>
  <c r="E72" i="1"/>
  <c r="B62" i="2"/>
  <c r="D62" i="2" s="1"/>
  <c r="D73" i="1" l="1"/>
  <c r="G73" i="1"/>
  <c r="E62" i="2"/>
  <c r="G62" i="2" s="1"/>
  <c r="H62" i="2" l="1"/>
  <c r="J62" i="2" s="1"/>
  <c r="L62" i="2" s="1"/>
  <c r="M62" i="2" s="1"/>
  <c r="H73" i="1"/>
  <c r="B74" i="1"/>
  <c r="I73" i="1"/>
  <c r="J73" i="1" s="1"/>
  <c r="E73" i="1"/>
  <c r="B63" i="2" l="1"/>
  <c r="D63" i="2" s="1"/>
  <c r="D74" i="1"/>
  <c r="G74" i="1"/>
  <c r="K62" i="2"/>
  <c r="E63" i="2" l="1"/>
  <c r="G63" i="2" s="1"/>
  <c r="H74" i="1"/>
  <c r="M8" i="1" s="1"/>
  <c r="M6" i="1"/>
  <c r="I74" i="1"/>
  <c r="J74" i="1" s="1"/>
  <c r="M5" i="1" s="1"/>
  <c r="M7" i="1"/>
  <c r="E74" i="1"/>
  <c r="H63" i="2" l="1"/>
  <c r="J63" i="2" s="1"/>
  <c r="L63" i="2" s="1"/>
  <c r="M63" i="2" s="1"/>
  <c r="K63" i="2"/>
  <c r="B64" i="2"/>
  <c r="D64" i="2" l="1"/>
  <c r="E64" i="2" l="1"/>
  <c r="G64" i="2" s="1"/>
  <c r="H64" i="2" l="1"/>
  <c r="J64" i="2" s="1"/>
  <c r="K64" i="2" s="1"/>
  <c r="L64" i="2" l="1"/>
  <c r="M64" i="2" s="1"/>
  <c r="B65" i="2"/>
  <c r="D65" i="2" l="1"/>
  <c r="E65" i="2" l="1"/>
  <c r="G65" i="2" s="1"/>
  <c r="H65" i="2" l="1"/>
  <c r="J65" i="2" s="1"/>
  <c r="L65" i="2" s="1"/>
  <c r="M65" i="2" s="1"/>
  <c r="K65" i="2"/>
  <c r="B66" i="2" l="1"/>
  <c r="D66" i="2" s="1"/>
  <c r="E66" i="2" l="1"/>
  <c r="G66" i="2" s="1"/>
  <c r="H66" i="2" l="1"/>
  <c r="J66" i="2" s="1"/>
  <c r="K66" i="2" s="1"/>
  <c r="L66" i="2" l="1"/>
  <c r="M66" i="2" s="1"/>
  <c r="B67" i="2"/>
  <c r="D67" i="2" l="1"/>
  <c r="E67" i="2" l="1"/>
  <c r="G67" i="2" s="1"/>
  <c r="H67" i="2" l="1"/>
  <c r="J67" i="2" s="1"/>
  <c r="L67" i="2" s="1"/>
  <c r="M67" i="2" s="1"/>
  <c r="K67" i="2" l="1"/>
  <c r="B68" i="2"/>
  <c r="D68" i="2" s="1"/>
  <c r="E68" i="2" l="1"/>
  <c r="G68" i="2" s="1"/>
  <c r="H68" i="2"/>
  <c r="J68" i="2" s="1"/>
  <c r="K68" i="2" l="1"/>
  <c r="B69" i="2"/>
  <c r="L68" i="2"/>
  <c r="M68" i="2" s="1"/>
  <c r="D69" i="2" l="1"/>
  <c r="E69" i="2" l="1"/>
  <c r="G69" i="2" s="1"/>
  <c r="H69" i="2" l="1"/>
  <c r="J69" i="2" s="1"/>
  <c r="L69" i="2" s="1"/>
  <c r="M69" i="2" s="1"/>
  <c r="K69" i="2" l="1"/>
  <c r="B70" i="2"/>
  <c r="D70" i="2" s="1"/>
  <c r="E70" i="2" l="1"/>
  <c r="G70" i="2" s="1"/>
  <c r="H70" i="2" l="1"/>
  <c r="J70" i="2" s="1"/>
  <c r="K70" i="2" s="1"/>
  <c r="L70" i="2"/>
  <c r="M70" i="2" s="1"/>
  <c r="B71" i="2" l="1"/>
  <c r="D71" i="2" s="1"/>
  <c r="E71" i="2" l="1"/>
  <c r="G71" i="2" s="1"/>
  <c r="H71" i="2" l="1"/>
  <c r="J71" i="2" s="1"/>
  <c r="L71" i="2" s="1"/>
  <c r="M71" i="2" s="1"/>
  <c r="B72" i="2"/>
  <c r="K71" i="2"/>
  <c r="D72" i="2" l="1"/>
  <c r="E72" i="2" l="1"/>
  <c r="G72" i="2" s="1"/>
  <c r="H72" i="2" l="1"/>
  <c r="J72" i="2" s="1"/>
  <c r="K72" i="2" s="1"/>
  <c r="L72" i="2"/>
  <c r="M72" i="2" s="1"/>
  <c r="B73" i="2" l="1"/>
  <c r="D73" i="2" s="1"/>
  <c r="E73" i="2" l="1"/>
  <c r="G73" i="2" s="1"/>
  <c r="H73" i="2"/>
  <c r="J73" i="2" s="1"/>
  <c r="L73" i="2" l="1"/>
  <c r="M73" i="2" s="1"/>
  <c r="B74" i="2"/>
  <c r="D74" i="2" s="1"/>
  <c r="K73" i="2"/>
  <c r="E74" i="2" l="1"/>
  <c r="G74" i="2" s="1"/>
  <c r="H74" i="2" l="1"/>
  <c r="J74" i="2" s="1"/>
  <c r="K74" i="2" s="1"/>
  <c r="L74" i="2" l="1"/>
  <c r="M74" i="2" s="1"/>
  <c r="B75" i="2"/>
  <c r="D75" i="2" l="1"/>
  <c r="E75" i="2" l="1"/>
  <c r="G75" i="2" s="1"/>
  <c r="H75" i="2" s="1"/>
  <c r="J75" i="2" s="1"/>
  <c r="B76" i="2" s="1"/>
  <c r="L75" i="2" l="1"/>
  <c r="M75" i="2" s="1"/>
  <c r="D76" i="2"/>
  <c r="K75" i="2"/>
  <c r="E76" i="2" l="1"/>
  <c r="G76" i="2" s="1"/>
  <c r="H76" i="2" l="1"/>
  <c r="J76" i="2" s="1"/>
  <c r="K76" i="2" s="1"/>
  <c r="L76" i="2" l="1"/>
  <c r="M76" i="2" s="1"/>
  <c r="B77" i="2"/>
  <c r="D77" i="2" l="1"/>
  <c r="E77" i="2" l="1"/>
  <c r="G77" i="2" s="1"/>
  <c r="H77" i="2" l="1"/>
  <c r="J77" i="2" s="1"/>
  <c r="B78" i="2" s="1"/>
  <c r="K77" i="2"/>
  <c r="L77" i="2" l="1"/>
  <c r="M77" i="2" s="1"/>
  <c r="D78" i="2" l="1"/>
  <c r="E78" i="2" l="1"/>
  <c r="G78" i="2" s="1"/>
  <c r="H78" i="2" l="1"/>
  <c r="J78" i="2" s="1"/>
  <c r="K78" i="2" s="1"/>
  <c r="L78" i="2"/>
  <c r="M78" i="2" s="1"/>
  <c r="B79" i="2" l="1"/>
  <c r="D79" i="2" s="1"/>
  <c r="E79" i="2" l="1"/>
  <c r="G79" i="2" s="1"/>
  <c r="H79" i="2"/>
  <c r="J79" i="2" s="1"/>
  <c r="L79" i="2" l="1"/>
  <c r="M79" i="2" s="1"/>
  <c r="B80" i="2"/>
  <c r="D80" i="2" s="1"/>
  <c r="K79" i="2"/>
  <c r="E80" i="2" l="1"/>
  <c r="G80" i="2" s="1"/>
  <c r="H80" i="2" l="1"/>
  <c r="J80" i="2" s="1"/>
  <c r="K80" i="2" s="1"/>
  <c r="B81" i="2"/>
  <c r="L80" i="2"/>
  <c r="M80" i="2" s="1"/>
  <c r="D81" i="2" l="1"/>
  <c r="E81" i="2" l="1"/>
  <c r="G81" i="2" s="1"/>
  <c r="H81" i="2" l="1"/>
  <c r="J81" i="2" s="1"/>
  <c r="L81" i="2" s="1"/>
  <c r="M81" i="2" s="1"/>
  <c r="B82" i="2"/>
  <c r="K81" i="2"/>
  <c r="D82" i="2" l="1"/>
  <c r="E82" i="2" l="1"/>
  <c r="G82" i="2" s="1"/>
  <c r="H82" i="2" l="1"/>
  <c r="J82" i="2" s="1"/>
  <c r="B83" i="2" s="1"/>
  <c r="L82" i="2" l="1"/>
  <c r="M82" i="2" s="1"/>
  <c r="D83" i="2"/>
  <c r="K82" i="2"/>
  <c r="E83" i="2" l="1"/>
  <c r="G83" i="2" s="1"/>
  <c r="H83" i="2" l="1"/>
  <c r="J83" i="2" s="1"/>
  <c r="L83" i="2" s="1"/>
  <c r="M83" i="2" s="1"/>
  <c r="B84" i="2"/>
  <c r="K83" i="2"/>
  <c r="D84" i="2" l="1"/>
  <c r="E84" i="2" l="1"/>
  <c r="G84" i="2" s="1"/>
  <c r="H84" i="2"/>
  <c r="J84" i="2" s="1"/>
  <c r="K84" i="2" l="1"/>
  <c r="B85" i="2"/>
  <c r="L84" i="2"/>
  <c r="M84" i="2" s="1"/>
  <c r="D85" i="2" l="1"/>
  <c r="E85" i="2" l="1"/>
  <c r="G85" i="2" s="1"/>
  <c r="H85" i="2"/>
  <c r="J85" i="2" s="1"/>
  <c r="B86" i="2" s="1"/>
  <c r="L85" i="2" l="1"/>
  <c r="M85" i="2" s="1"/>
  <c r="D86" i="2" s="1"/>
  <c r="K85" i="2"/>
  <c r="E86" i="2" l="1"/>
  <c r="G86" i="2" s="1"/>
  <c r="H86" i="2" s="1"/>
  <c r="J86" i="2" s="1"/>
  <c r="B87" i="2" s="1"/>
  <c r="K86" i="2" l="1"/>
  <c r="L86" i="2"/>
  <c r="M86" i="2" s="1"/>
  <c r="D87" i="2" l="1"/>
  <c r="E87" i="2" l="1"/>
  <c r="G87" i="2" s="1"/>
  <c r="H87" i="2"/>
  <c r="J87" i="2" s="1"/>
  <c r="B88" i="2" s="1"/>
  <c r="L87" i="2" l="1"/>
  <c r="M87" i="2" s="1"/>
  <c r="D88" i="2"/>
  <c r="K87" i="2"/>
  <c r="E88" i="2" l="1"/>
  <c r="G88" i="2" s="1"/>
  <c r="H88" i="2"/>
  <c r="J88" i="2" s="1"/>
  <c r="B89" i="2"/>
  <c r="K88" i="2" l="1"/>
  <c r="L88" i="2"/>
  <c r="M88" i="2" s="1"/>
  <c r="D89" i="2" l="1"/>
  <c r="E89" i="2" l="1"/>
  <c r="G89" i="2" s="1"/>
  <c r="H89" i="2" l="1"/>
  <c r="J89" i="2" s="1"/>
  <c r="L89" i="2" s="1"/>
  <c r="M89" i="2" s="1"/>
  <c r="K89" i="2"/>
  <c r="B90" i="2"/>
  <c r="D90" i="2" l="1"/>
  <c r="E90" i="2" l="1"/>
  <c r="G90" i="2" s="1"/>
  <c r="H90" i="2" l="1"/>
  <c r="J90" i="2" s="1"/>
  <c r="K90" i="2" s="1"/>
  <c r="L90" i="2" l="1"/>
  <c r="M90" i="2" s="1"/>
  <c r="D91" i="2" s="1"/>
  <c r="B91" i="2"/>
  <c r="E91" i="2" l="1"/>
  <c r="G91" i="2" s="1"/>
  <c r="H91" i="2" l="1"/>
  <c r="J91" i="2" s="1"/>
  <c r="L91" i="2" s="1"/>
  <c r="M91" i="2" s="1"/>
  <c r="B92" i="2" l="1"/>
  <c r="D92" i="2" s="1"/>
  <c r="K91" i="2"/>
  <c r="E92" i="2" l="1"/>
  <c r="G92" i="2" s="1"/>
  <c r="H92" i="2" l="1"/>
  <c r="J92" i="2" s="1"/>
  <c r="K92" i="2" s="1"/>
  <c r="B93" i="2"/>
  <c r="L92" i="2" l="1"/>
  <c r="M92" i="2" s="1"/>
  <c r="D93" i="2" l="1"/>
  <c r="E93" i="2" l="1"/>
  <c r="G93" i="2" s="1"/>
  <c r="H93" i="2"/>
  <c r="J93" i="2" s="1"/>
  <c r="B94" i="2" s="1"/>
  <c r="L93" i="2" l="1"/>
  <c r="M93" i="2" s="1"/>
  <c r="D94" i="2" s="1"/>
  <c r="K93" i="2"/>
  <c r="E94" i="2" l="1"/>
  <c r="G94" i="2" s="1"/>
  <c r="K94" i="2" l="1"/>
  <c r="H94" i="2"/>
  <c r="J94" i="2" s="1"/>
  <c r="L94" i="2" s="1"/>
  <c r="M94" i="2" s="1"/>
  <c r="B95" i="2" l="1"/>
  <c r="D95" i="2" s="1"/>
  <c r="E95" i="2" l="1"/>
  <c r="G95" i="2" s="1"/>
  <c r="H95" i="2" l="1"/>
  <c r="J95" i="2" s="1"/>
  <c r="L95" i="2" s="1"/>
  <c r="M95" i="2" s="1"/>
  <c r="K95" i="2"/>
  <c r="B96" i="2" l="1"/>
  <c r="D96" i="2" s="1"/>
  <c r="E96" i="2" l="1"/>
  <c r="G96" i="2" s="1"/>
  <c r="H96" i="2" l="1"/>
  <c r="J96" i="2" s="1"/>
  <c r="K96" i="2" s="1"/>
  <c r="B97" i="2"/>
  <c r="L96" i="2"/>
  <c r="M96" i="2" s="1"/>
  <c r="D97" i="2" l="1"/>
  <c r="E97" i="2" l="1"/>
  <c r="G97" i="2" s="1"/>
  <c r="H97" i="2" l="1"/>
  <c r="J97" i="2" s="1"/>
  <c r="L97" i="2" s="1"/>
  <c r="M97" i="2" s="1"/>
  <c r="K97" i="2"/>
  <c r="B98" i="2" l="1"/>
  <c r="D98" i="2"/>
  <c r="E98" i="2" l="1"/>
  <c r="G98" i="2" s="1"/>
  <c r="H98" i="2" l="1"/>
  <c r="J98" i="2" s="1"/>
  <c r="K98" i="2" s="1"/>
  <c r="L98" i="2" l="1"/>
  <c r="M98" i="2" s="1"/>
  <c r="B99" i="2"/>
  <c r="D99" i="2" l="1"/>
  <c r="E99" i="2" l="1"/>
  <c r="G99" i="2" s="1"/>
  <c r="H99" i="2" l="1"/>
  <c r="J99" i="2" s="1"/>
  <c r="L99" i="2" s="1"/>
  <c r="M99" i="2" s="1"/>
  <c r="K99" i="2"/>
  <c r="B100" i="2" l="1"/>
  <c r="D100" i="2" s="1"/>
  <c r="E100" i="2" l="1"/>
  <c r="G100" i="2" s="1"/>
  <c r="H100" i="2" l="1"/>
  <c r="J100" i="2" s="1"/>
  <c r="K100" i="2" s="1"/>
  <c r="L100" i="2"/>
  <c r="M100" i="2" s="1"/>
  <c r="B101" i="2" l="1"/>
  <c r="D101" i="2" s="1"/>
  <c r="E101" i="2" l="1"/>
  <c r="G101" i="2" s="1"/>
  <c r="H101" i="2" l="1"/>
  <c r="J101" i="2" s="1"/>
  <c r="L101" i="2" s="1"/>
  <c r="M101" i="2" s="1"/>
  <c r="K101" i="2"/>
  <c r="B102" i="2" l="1"/>
  <c r="D102" i="2" s="1"/>
  <c r="E102" i="2" l="1"/>
  <c r="G102" i="2" s="1"/>
  <c r="H102" i="2" l="1"/>
  <c r="J102" i="2" s="1"/>
  <c r="K102" i="2" s="1"/>
  <c r="L102" i="2" l="1"/>
  <c r="M102" i="2" s="1"/>
  <c r="B103" i="2"/>
  <c r="D103" i="2"/>
  <c r="E103" i="2" l="1"/>
  <c r="G103" i="2" s="1"/>
  <c r="H103" i="2" l="1"/>
  <c r="J103" i="2" s="1"/>
  <c r="B104" i="2" s="1"/>
  <c r="K103" i="2" l="1"/>
  <c r="L103" i="2"/>
  <c r="M103" i="2" s="1"/>
  <c r="D104" i="2" l="1"/>
  <c r="E104" i="2" l="1"/>
  <c r="G104" i="2" s="1"/>
  <c r="H104" i="2" l="1"/>
  <c r="J104" i="2" s="1"/>
  <c r="K104" i="2" s="1"/>
  <c r="L104" i="2" l="1"/>
  <c r="M104" i="2" s="1"/>
  <c r="B105" i="2"/>
  <c r="D105" i="2" l="1"/>
  <c r="E105" i="2" l="1"/>
  <c r="G105" i="2" s="1"/>
  <c r="H105" i="2" l="1"/>
  <c r="J105" i="2" s="1"/>
  <c r="L105" i="2" s="1"/>
  <c r="M105" i="2" s="1"/>
  <c r="K105" i="2"/>
  <c r="B106" i="2" l="1"/>
  <c r="D106" i="2"/>
  <c r="E106" i="2" l="1"/>
  <c r="G106" i="2" s="1"/>
  <c r="H106" i="2" s="1"/>
  <c r="J106" i="2" s="1"/>
  <c r="B107" i="2" s="1"/>
  <c r="K106" i="2" l="1"/>
  <c r="L106" i="2"/>
  <c r="M106" i="2" s="1"/>
  <c r="D107" i="2" l="1"/>
  <c r="E107" i="2" l="1"/>
  <c r="G107" i="2" s="1"/>
  <c r="H107" i="2" l="1"/>
  <c r="J107" i="2" s="1"/>
  <c r="L107" i="2" s="1"/>
  <c r="M107" i="2" s="1"/>
  <c r="K107" i="2"/>
  <c r="B108" i="2" l="1"/>
  <c r="D108" i="2" s="1"/>
  <c r="E108" i="2" l="1"/>
  <c r="G108" i="2" s="1"/>
  <c r="H108" i="2" l="1"/>
  <c r="J108" i="2" s="1"/>
  <c r="K108" i="2" s="1"/>
  <c r="B109" i="2" l="1"/>
  <c r="L108" i="2"/>
  <c r="M108" i="2" s="1"/>
  <c r="D109" i="2" l="1"/>
  <c r="E109" i="2" l="1"/>
  <c r="G109" i="2" s="1"/>
  <c r="H109" i="2"/>
  <c r="J109" i="2" s="1"/>
  <c r="L109" i="2" l="1"/>
  <c r="M109" i="2" s="1"/>
  <c r="B110" i="2"/>
  <c r="D110" i="2" s="1"/>
  <c r="K109" i="2"/>
  <c r="E110" i="2" l="1"/>
  <c r="G110" i="2" s="1"/>
  <c r="H110" i="2" l="1"/>
  <c r="J110" i="2" s="1"/>
  <c r="K110" i="2" s="1"/>
  <c r="B111" i="2" l="1"/>
  <c r="L110" i="2"/>
  <c r="M110" i="2" s="1"/>
  <c r="D111" i="2" l="1"/>
  <c r="E111" i="2" l="1"/>
  <c r="G111" i="2" s="1"/>
  <c r="H111" i="2"/>
  <c r="J111" i="2" s="1"/>
  <c r="B112" i="2"/>
  <c r="L111" i="2" l="1"/>
  <c r="M111" i="2" s="1"/>
  <c r="D112" i="2"/>
  <c r="K111" i="2"/>
  <c r="E112" i="2" l="1"/>
  <c r="G112" i="2" s="1"/>
  <c r="H112" i="2" l="1"/>
  <c r="J112" i="2" s="1"/>
  <c r="K112" i="2" s="1"/>
  <c r="L112" i="2" l="1"/>
  <c r="M112" i="2" s="1"/>
  <c r="B113" i="2"/>
  <c r="D113" i="2" l="1"/>
  <c r="E113" i="2" l="1"/>
  <c r="G113" i="2" s="1"/>
  <c r="H113" i="2"/>
  <c r="J113" i="2" s="1"/>
  <c r="L113" i="2" l="1"/>
  <c r="M113" i="2" s="1"/>
  <c r="B114" i="2"/>
  <c r="K113" i="2"/>
  <c r="D114" i="2" l="1"/>
  <c r="E114" i="2" s="1"/>
  <c r="G114" i="2" s="1"/>
  <c r="H114" i="2" l="1"/>
  <c r="J114" i="2" s="1"/>
  <c r="K114" i="2" s="1"/>
  <c r="L114" i="2" l="1"/>
  <c r="M114" i="2" s="1"/>
  <c r="B115" i="2"/>
  <c r="D115" i="2" l="1"/>
  <c r="E115" i="2" l="1"/>
  <c r="G115" i="2" s="1"/>
  <c r="H115" i="2" l="1"/>
  <c r="J115" i="2" s="1"/>
  <c r="L115" i="2" s="1"/>
  <c r="M115" i="2" s="1"/>
  <c r="K115" i="2"/>
  <c r="B116" i="2" l="1"/>
  <c r="D116" i="2" s="1"/>
  <c r="E116" i="2" l="1"/>
  <c r="G116" i="2" s="1"/>
  <c r="H116" i="2" l="1"/>
  <c r="J116" i="2" s="1"/>
  <c r="K116" i="2" s="1"/>
  <c r="B117" i="2" l="1"/>
  <c r="L116" i="2"/>
  <c r="M116" i="2" s="1"/>
  <c r="D117" i="2" l="1"/>
  <c r="E117" i="2" l="1"/>
  <c r="G117" i="2" s="1"/>
  <c r="H117" i="2" l="1"/>
  <c r="J117" i="2" s="1"/>
  <c r="L117" i="2" s="1"/>
  <c r="M117" i="2" s="1"/>
  <c r="B118" i="2" l="1"/>
  <c r="D118" i="2" s="1"/>
  <c r="K117" i="2"/>
  <c r="E118" i="2" l="1"/>
  <c r="G118" i="2" s="1"/>
  <c r="H118" i="2" l="1"/>
  <c r="J118" i="2" s="1"/>
  <c r="K118" i="2" s="1"/>
  <c r="L118" i="2"/>
  <c r="M118" i="2" s="1"/>
  <c r="B119" i="2" l="1"/>
  <c r="D119" i="2" s="1"/>
  <c r="E119" i="2" l="1"/>
  <c r="G119" i="2" s="1"/>
  <c r="H119" i="2" l="1"/>
  <c r="J119" i="2" s="1"/>
  <c r="L119" i="2" s="1"/>
  <c r="M119" i="2" s="1"/>
  <c r="B120" i="2"/>
  <c r="K119" i="2"/>
  <c r="D120" i="2" l="1"/>
  <c r="E120" i="2" l="1"/>
  <c r="G120" i="2" s="1"/>
  <c r="H120" i="2"/>
  <c r="J120" i="2" s="1"/>
  <c r="B121" i="2" s="1"/>
  <c r="K120" i="2" l="1"/>
  <c r="L120" i="2"/>
  <c r="M120" i="2" s="1"/>
  <c r="D121" i="2" l="1"/>
  <c r="E121" i="2" l="1"/>
  <c r="G121" i="2" s="1"/>
  <c r="H121" i="2" l="1"/>
  <c r="J121" i="2" s="1"/>
  <c r="L121" i="2" s="1"/>
  <c r="M121" i="2" s="1"/>
  <c r="B122" i="2" l="1"/>
  <c r="D122" i="2" s="1"/>
  <c r="K121" i="2"/>
  <c r="E122" i="2" l="1"/>
  <c r="G122" i="2" s="1"/>
  <c r="H122" i="2"/>
  <c r="J122" i="2" s="1"/>
  <c r="B123" i="2" s="1"/>
  <c r="K122" i="2" l="1"/>
  <c r="L122" i="2"/>
  <c r="M122" i="2" s="1"/>
  <c r="D123" i="2" l="1"/>
  <c r="E123" i="2" l="1"/>
  <c r="G123" i="2" s="1"/>
  <c r="H123" i="2" l="1"/>
  <c r="J123" i="2" s="1"/>
  <c r="B124" i="2" s="1"/>
  <c r="K123" i="2"/>
  <c r="L123" i="2" l="1"/>
  <c r="M123" i="2" s="1"/>
  <c r="D124" i="2" l="1"/>
  <c r="E124" i="2" l="1"/>
  <c r="G124" i="2" s="1"/>
  <c r="H124" i="2" l="1"/>
  <c r="J124" i="2" s="1"/>
  <c r="K124" i="2" s="1"/>
  <c r="L124" i="2" l="1"/>
  <c r="M124" i="2" s="1"/>
  <c r="B125" i="2"/>
  <c r="D125" i="2" l="1"/>
  <c r="E125" i="2" l="1"/>
  <c r="G125" i="2" s="1"/>
  <c r="H125" i="2" l="1"/>
  <c r="J125" i="2" s="1"/>
  <c r="L125" i="2" s="1"/>
  <c r="M125" i="2" s="1"/>
  <c r="K125" i="2"/>
  <c r="B126" i="2" l="1"/>
  <c r="D126" i="2" s="1"/>
  <c r="E126" i="2" l="1"/>
  <c r="G126" i="2" s="1"/>
  <c r="H126" i="2" l="1"/>
  <c r="J126" i="2" s="1"/>
  <c r="K126" i="2" s="1"/>
  <c r="L126" i="2" l="1"/>
  <c r="M126" i="2" s="1"/>
  <c r="B127" i="2"/>
  <c r="D127" i="2" l="1"/>
  <c r="E127" i="2" l="1"/>
  <c r="G127" i="2" s="1"/>
  <c r="H127" i="2" l="1"/>
  <c r="J127" i="2" s="1"/>
  <c r="L127" i="2" s="1"/>
  <c r="M127" i="2" s="1"/>
  <c r="K127" i="2"/>
  <c r="B128" i="2"/>
  <c r="D128" i="2" l="1"/>
  <c r="E128" i="2" l="1"/>
  <c r="G128" i="2" s="1"/>
  <c r="H128" i="2" l="1"/>
  <c r="J128" i="2" s="1"/>
  <c r="L128" i="2" s="1"/>
  <c r="M128" i="2" s="1"/>
  <c r="K128" i="2" l="1"/>
  <c r="B129" i="2"/>
  <c r="D129" i="2" s="1"/>
  <c r="E129" i="2" l="1"/>
  <c r="G129" i="2" s="1"/>
  <c r="H129" i="2" l="1"/>
  <c r="J129" i="2" s="1"/>
  <c r="K129" i="2" s="1"/>
  <c r="B130" i="2" l="1"/>
  <c r="L129" i="2"/>
  <c r="M129" i="2" s="1"/>
  <c r="D130" i="2" l="1"/>
  <c r="E130" i="2" l="1"/>
  <c r="G130" i="2" s="1"/>
  <c r="H130" i="2"/>
  <c r="J130" i="2" s="1"/>
  <c r="L130" i="2" l="1"/>
  <c r="M130" i="2" s="1"/>
  <c r="B131" i="2"/>
  <c r="D131" i="2" s="1"/>
  <c r="K130" i="2"/>
  <c r="E131" i="2" l="1"/>
  <c r="G131" i="2" s="1"/>
  <c r="H131" i="2" l="1"/>
  <c r="J131" i="2" s="1"/>
  <c r="L131" i="2" s="1"/>
  <c r="M131" i="2" s="1"/>
  <c r="K131" i="2"/>
  <c r="B132" i="2" l="1"/>
  <c r="D132" i="2"/>
  <c r="E132" i="2" l="1"/>
  <c r="G132" i="2" s="1"/>
  <c r="H132" i="2"/>
  <c r="J132" i="2" s="1"/>
  <c r="B133" i="2" s="1"/>
  <c r="L132" i="2" l="1"/>
  <c r="M132" i="2" s="1"/>
  <c r="D133" i="2"/>
  <c r="K132" i="2"/>
  <c r="E133" i="2" l="1"/>
  <c r="G133" i="2" s="1"/>
  <c r="H133" i="2" l="1"/>
  <c r="J133" i="2" s="1"/>
  <c r="B134" i="2" s="1"/>
  <c r="K133" i="2"/>
  <c r="L133" i="2" l="1"/>
  <c r="M133" i="2" s="1"/>
  <c r="D134" i="2" s="1"/>
  <c r="E134" i="2" s="1"/>
  <c r="G134" i="2" s="1"/>
  <c r="H134" i="2" l="1"/>
  <c r="J134" i="2" s="1"/>
  <c r="L134" i="2" s="1"/>
  <c r="M134" i="2" s="1"/>
  <c r="B135" i="2"/>
  <c r="K134" i="2"/>
  <c r="D135" i="2" l="1"/>
  <c r="E135" i="2"/>
  <c r="G135" i="2" s="1"/>
  <c r="H135" i="2"/>
  <c r="J135" i="2" s="1"/>
  <c r="B136" i="2" s="1"/>
  <c r="L135" i="2" l="1"/>
  <c r="M135" i="2" s="1"/>
  <c r="D136" i="2" s="1"/>
  <c r="K135" i="2"/>
  <c r="E136" i="2" l="1"/>
  <c r="G136" i="2" s="1"/>
  <c r="H136" i="2"/>
  <c r="J136" i="2" s="1"/>
  <c r="L136" i="2" l="1"/>
  <c r="M136" i="2" s="1"/>
  <c r="B137" i="2"/>
  <c r="D137" i="2" s="1"/>
  <c r="K136" i="2"/>
  <c r="E137" i="2" l="1"/>
  <c r="G137" i="2" s="1"/>
  <c r="H137" i="2"/>
  <c r="J137" i="2" s="1"/>
  <c r="L137" i="2" l="1"/>
  <c r="M137" i="2" s="1"/>
  <c r="B138" i="2"/>
  <c r="D138" i="2" s="1"/>
  <c r="K137" i="2"/>
  <c r="E138" i="2" l="1"/>
  <c r="G138" i="2" s="1"/>
  <c r="H138" i="2" l="1"/>
  <c r="J138" i="2" s="1"/>
  <c r="L138" i="2" s="1"/>
  <c r="M138" i="2" s="1"/>
  <c r="B139" i="2"/>
  <c r="K138" i="2"/>
  <c r="D139" i="2" l="1"/>
  <c r="E139" i="2" l="1"/>
  <c r="G139" i="2" s="1"/>
  <c r="H139" i="2" l="1"/>
  <c r="J139" i="2" s="1"/>
  <c r="L139" i="2" s="1"/>
  <c r="M139" i="2" s="1"/>
  <c r="K139" i="2"/>
  <c r="B140" i="2" l="1"/>
  <c r="D140" i="2" s="1"/>
  <c r="E140" i="2" l="1"/>
  <c r="G140" i="2" s="1"/>
  <c r="H140" i="2" l="1"/>
  <c r="J140" i="2" s="1"/>
  <c r="L140" i="2" s="1"/>
  <c r="M140" i="2" s="1"/>
  <c r="K140" i="2"/>
  <c r="B141" i="2" l="1"/>
  <c r="D141" i="2" s="1"/>
  <c r="E141" i="2" l="1"/>
  <c r="G141" i="2" s="1"/>
  <c r="H141" i="2"/>
  <c r="J141" i="2" s="1"/>
  <c r="B142" i="2" s="1"/>
  <c r="L141" i="2" l="1"/>
  <c r="M141" i="2" s="1"/>
  <c r="D142" i="2" s="1"/>
  <c r="K141" i="2"/>
  <c r="E142" i="2" l="1"/>
  <c r="G142" i="2" s="1"/>
  <c r="H142" i="2" l="1"/>
  <c r="J142" i="2" s="1"/>
  <c r="B143" i="2" s="1"/>
  <c r="K142" i="2"/>
  <c r="L142" i="2" l="1"/>
  <c r="M142" i="2" s="1"/>
  <c r="D143" i="2" l="1"/>
  <c r="E143" i="2" l="1"/>
  <c r="G143" i="2" s="1"/>
  <c r="H143" i="2" l="1"/>
  <c r="J143" i="2" s="1"/>
  <c r="L143" i="2" s="1"/>
  <c r="M143" i="2" s="1"/>
  <c r="B144" i="2"/>
  <c r="K143" i="2"/>
  <c r="D144" i="2" l="1"/>
  <c r="E144" i="2" l="1"/>
  <c r="G144" i="2" s="1"/>
  <c r="H144" i="2" l="1"/>
  <c r="J144" i="2" s="1"/>
  <c r="L144" i="2" s="1"/>
  <c r="M144" i="2" s="1"/>
  <c r="B145" i="2"/>
  <c r="K144" i="2"/>
  <c r="D145" i="2" l="1"/>
  <c r="E145" i="2" l="1"/>
  <c r="G145" i="2" s="1"/>
  <c r="H145" i="2" l="1"/>
  <c r="J145" i="2" s="1"/>
  <c r="L145" i="2" s="1"/>
  <c r="M145" i="2" s="1"/>
  <c r="B146" i="2"/>
  <c r="K145" i="2"/>
  <c r="D146" i="2" l="1"/>
  <c r="E146" i="2" l="1"/>
  <c r="G146" i="2" s="1"/>
  <c r="H146" i="2" l="1"/>
  <c r="J146" i="2" s="1"/>
  <c r="L146" i="2" s="1"/>
  <c r="M146" i="2" s="1"/>
  <c r="K146" i="2"/>
  <c r="B147" i="2" l="1"/>
  <c r="D147" i="2" s="1"/>
  <c r="E147" i="2" l="1"/>
  <c r="G147" i="2" s="1"/>
  <c r="H147" i="2" l="1"/>
  <c r="J147" i="2" s="1"/>
  <c r="L147" i="2" s="1"/>
  <c r="M147" i="2" s="1"/>
  <c r="K147" i="2" l="1"/>
  <c r="B148" i="2"/>
  <c r="D148" i="2" s="1"/>
  <c r="E148" i="2" l="1"/>
  <c r="G148" i="2" s="1"/>
  <c r="H148" i="2" l="1"/>
  <c r="J148" i="2" s="1"/>
  <c r="K148" i="2" s="1"/>
  <c r="B149" i="2" l="1"/>
  <c r="L148" i="2"/>
  <c r="M148" i="2" s="1"/>
  <c r="D149" i="2" l="1"/>
  <c r="E149" i="2" l="1"/>
  <c r="G149" i="2" s="1"/>
  <c r="H149" i="2"/>
  <c r="J149" i="2" s="1"/>
  <c r="B150" i="2" s="1"/>
  <c r="L149" i="2" l="1"/>
  <c r="M149" i="2" s="1"/>
  <c r="D150" i="2"/>
  <c r="K149" i="2"/>
  <c r="E150" i="2" l="1"/>
  <c r="G150" i="2" s="1"/>
  <c r="H150" i="2" l="1"/>
  <c r="J150" i="2" s="1"/>
  <c r="L150" i="2" s="1"/>
  <c r="M150" i="2" s="1"/>
  <c r="B151" i="2"/>
  <c r="K150" i="2"/>
  <c r="D151" i="2" l="1"/>
  <c r="E151" i="2" l="1"/>
  <c r="G151" i="2" s="1"/>
  <c r="H151" i="2" l="1"/>
  <c r="J151" i="2" s="1"/>
  <c r="L151" i="2" s="1"/>
  <c r="M151" i="2" s="1"/>
  <c r="K151" i="2"/>
  <c r="B152" i="2" l="1"/>
  <c r="D152" i="2" s="1"/>
  <c r="E152" i="2" l="1"/>
  <c r="G152" i="2" s="1"/>
  <c r="H152" i="2" l="1"/>
  <c r="J152" i="2" s="1"/>
  <c r="K152" i="2" s="1"/>
  <c r="B153" i="2" l="1"/>
  <c r="L152" i="2"/>
  <c r="M152" i="2" s="1"/>
  <c r="D153" i="2" l="1"/>
  <c r="E153" i="2" l="1"/>
  <c r="G153" i="2" s="1"/>
  <c r="H153" i="2"/>
  <c r="J153" i="2" s="1"/>
  <c r="L153" i="2" l="1"/>
  <c r="M153" i="2" s="1"/>
  <c r="B154" i="2"/>
  <c r="D154" i="2" s="1"/>
  <c r="K153" i="2"/>
  <c r="E154" i="2" l="1"/>
  <c r="G154" i="2" s="1"/>
  <c r="H154" i="2" l="1"/>
  <c r="J154" i="2" s="1"/>
  <c r="L154" i="2" s="1"/>
  <c r="M154" i="2" s="1"/>
  <c r="K154" i="2"/>
  <c r="B155" i="2" l="1"/>
  <c r="D155" i="2" s="1"/>
  <c r="E155" i="2" l="1"/>
  <c r="G155" i="2" s="1"/>
  <c r="H155" i="2"/>
  <c r="J155" i="2" s="1"/>
  <c r="L155" i="2" l="1"/>
  <c r="M155" i="2" s="1"/>
  <c r="B156" i="2"/>
  <c r="D156" i="2" s="1"/>
  <c r="K155" i="2"/>
  <c r="E156" i="2" l="1"/>
  <c r="G156" i="2" s="1"/>
  <c r="H156" i="2" l="1"/>
  <c r="J156" i="2" s="1"/>
  <c r="B157" i="2" s="1"/>
  <c r="K156" i="2"/>
  <c r="L156" i="2" l="1"/>
  <c r="M156" i="2" s="1"/>
  <c r="D157" i="2" l="1"/>
  <c r="E157" i="2" l="1"/>
  <c r="G157" i="2" s="1"/>
  <c r="H157" i="2" l="1"/>
  <c r="J157" i="2" s="1"/>
  <c r="B158" i="2" s="1"/>
  <c r="K157" i="2"/>
  <c r="L157" i="2" l="1"/>
  <c r="M157" i="2" s="1"/>
  <c r="D158" i="2" l="1"/>
  <c r="E158" i="2" l="1"/>
  <c r="G158" i="2" s="1"/>
  <c r="H158" i="2" l="1"/>
  <c r="J158" i="2" s="1"/>
  <c r="B159" i="2" s="1"/>
  <c r="K158" i="2"/>
  <c r="L158" i="2" l="1"/>
  <c r="M158" i="2" s="1"/>
  <c r="D159" i="2" l="1"/>
  <c r="E159" i="2" l="1"/>
  <c r="G159" i="2" s="1"/>
  <c r="H159" i="2" s="1"/>
  <c r="J159" i="2" s="1"/>
  <c r="B160" i="2" s="1"/>
  <c r="L159" i="2" l="1"/>
  <c r="M159" i="2" s="1"/>
  <c r="D160" i="2" s="1"/>
  <c r="K159" i="2"/>
  <c r="E160" i="2" l="1"/>
  <c r="G160" i="2" s="1"/>
  <c r="H160" i="2" l="1"/>
  <c r="J160" i="2" s="1"/>
  <c r="L160" i="2" s="1"/>
  <c r="M160" i="2" s="1"/>
  <c r="K160" i="2"/>
  <c r="B161" i="2"/>
  <c r="D161" i="2" l="1"/>
  <c r="E161" i="2" l="1"/>
  <c r="G161" i="2" s="1"/>
  <c r="H161" i="2" l="1"/>
  <c r="J161" i="2" s="1"/>
  <c r="L161" i="2" s="1"/>
  <c r="M161" i="2" s="1"/>
  <c r="K161" i="2"/>
  <c r="B162" i="2" l="1"/>
  <c r="D162" i="2" s="1"/>
  <c r="E162" i="2" l="1"/>
  <c r="G162" i="2" s="1"/>
  <c r="H162" i="2" l="1"/>
  <c r="J162" i="2" s="1"/>
  <c r="L162" i="2" s="1"/>
  <c r="M162" i="2" s="1"/>
  <c r="K162" i="2"/>
  <c r="B163" i="2" l="1"/>
  <c r="D163" i="2" s="1"/>
  <c r="E163" i="2" l="1"/>
  <c r="G163" i="2" s="1"/>
  <c r="H163" i="2" l="1"/>
  <c r="J163" i="2" s="1"/>
  <c r="L163" i="2" s="1"/>
  <c r="M163" i="2" s="1"/>
  <c r="K163" i="2"/>
  <c r="B164" i="2" l="1"/>
  <c r="D164" i="2" s="1"/>
  <c r="E164" i="2" l="1"/>
  <c r="G164" i="2" s="1"/>
  <c r="H164" i="2" l="1"/>
  <c r="J164" i="2" s="1"/>
  <c r="L164" i="2" s="1"/>
  <c r="M164" i="2" s="1"/>
  <c r="K164" i="2" l="1"/>
  <c r="B165" i="2"/>
  <c r="D165" i="2" s="1"/>
  <c r="E165" i="2" l="1"/>
  <c r="G165" i="2" s="1"/>
  <c r="H165" i="2" l="1"/>
  <c r="J165" i="2" s="1"/>
  <c r="L165" i="2" s="1"/>
  <c r="M165" i="2" s="1"/>
  <c r="K165" i="2"/>
  <c r="B166" i="2" l="1"/>
  <c r="D166" i="2" s="1"/>
  <c r="E166" i="2" l="1"/>
  <c r="G166" i="2" s="1"/>
  <c r="H166" i="2" l="1"/>
  <c r="J166" i="2" s="1"/>
  <c r="L166" i="2" s="1"/>
  <c r="M166" i="2" s="1"/>
  <c r="B167" i="2"/>
  <c r="K166" i="2"/>
  <c r="D167" i="2" l="1"/>
  <c r="E167" i="2" l="1"/>
  <c r="G167" i="2" s="1"/>
  <c r="H167" i="2"/>
  <c r="J167" i="2" s="1"/>
  <c r="L167" i="2" l="1"/>
  <c r="M167" i="2" s="1"/>
  <c r="B168" i="2"/>
  <c r="K167" i="2"/>
  <c r="D168" i="2" l="1"/>
  <c r="E168" i="2"/>
  <c r="G168" i="2" s="1"/>
  <c r="H168" i="2" l="1"/>
  <c r="J168" i="2" s="1"/>
  <c r="L168" i="2" s="1"/>
  <c r="M168" i="2" s="1"/>
  <c r="B169" i="2"/>
  <c r="K168" i="2"/>
  <c r="D169" i="2" l="1"/>
  <c r="E169" i="2" l="1"/>
  <c r="G169" i="2" s="1"/>
  <c r="H169" i="2"/>
  <c r="J169" i="2" s="1"/>
  <c r="L169" i="2" l="1"/>
  <c r="M169" i="2" s="1"/>
  <c r="B170" i="2"/>
  <c r="D170" i="2" s="1"/>
  <c r="K169" i="2"/>
  <c r="E170" i="2" l="1"/>
  <c r="G170" i="2" s="1"/>
  <c r="H170" i="2" l="1"/>
  <c r="J170" i="2" s="1"/>
  <c r="L170" i="2" s="1"/>
  <c r="M170" i="2" s="1"/>
  <c r="K170" i="2"/>
  <c r="B171" i="2" l="1"/>
  <c r="D171" i="2" s="1"/>
  <c r="E171" i="2" l="1"/>
  <c r="G171" i="2" s="1"/>
  <c r="H171" i="2"/>
  <c r="J171" i="2" s="1"/>
  <c r="L171" i="2" l="1"/>
  <c r="M171" i="2" s="1"/>
  <c r="B172" i="2"/>
  <c r="D172" i="2" s="1"/>
  <c r="K171" i="2"/>
  <c r="E172" i="2" l="1"/>
  <c r="G172" i="2" s="1"/>
  <c r="H172" i="2" l="1"/>
  <c r="J172" i="2" s="1"/>
  <c r="L172" i="2" s="1"/>
  <c r="M172" i="2" s="1"/>
  <c r="K172" i="2"/>
  <c r="B173" i="2" l="1"/>
  <c r="D173" i="2" s="1"/>
  <c r="E173" i="2" l="1"/>
  <c r="G173" i="2" s="1"/>
  <c r="H173" i="2"/>
  <c r="J173" i="2" s="1"/>
  <c r="B174" i="2"/>
  <c r="L173" i="2" l="1"/>
  <c r="M173" i="2" s="1"/>
  <c r="D174" i="2"/>
  <c r="K173" i="2"/>
  <c r="E174" i="2" l="1"/>
  <c r="G174" i="2" s="1"/>
  <c r="H174" i="2" l="1"/>
  <c r="J174" i="2" s="1"/>
  <c r="B175" i="2" s="1"/>
  <c r="K174" i="2"/>
  <c r="L174" i="2" l="1"/>
  <c r="M174" i="2" s="1"/>
  <c r="D175" i="2" l="1"/>
  <c r="E175" i="2" l="1"/>
  <c r="G175" i="2" s="1"/>
  <c r="H175" i="2"/>
  <c r="J175" i="2" s="1"/>
  <c r="B176" i="2" s="1"/>
  <c r="L175" i="2" l="1"/>
  <c r="M175" i="2" s="1"/>
  <c r="D176" i="2"/>
  <c r="K175" i="2"/>
  <c r="E176" i="2" l="1"/>
  <c r="G176" i="2" s="1"/>
  <c r="H176" i="2" l="1"/>
  <c r="J176" i="2" s="1"/>
  <c r="L176" i="2" s="1"/>
  <c r="M176" i="2" s="1"/>
  <c r="B177" i="2"/>
  <c r="K176" i="2"/>
  <c r="D177" i="2" l="1"/>
  <c r="E177" i="2" l="1"/>
  <c r="G177" i="2" s="1"/>
  <c r="H177" i="2"/>
  <c r="J177" i="2" s="1"/>
  <c r="L177" i="2" l="1"/>
  <c r="M177" i="2" s="1"/>
  <c r="B178" i="2"/>
  <c r="K177" i="2"/>
  <c r="D178" i="2" l="1"/>
  <c r="E178" i="2"/>
  <c r="G178" i="2" s="1"/>
  <c r="H178" i="2" l="1"/>
  <c r="J178" i="2" s="1"/>
  <c r="B179" i="2" s="1"/>
  <c r="K178" i="2"/>
  <c r="L178" i="2" l="1"/>
  <c r="M178" i="2" s="1"/>
  <c r="D179" i="2" l="1"/>
  <c r="E179" i="2" l="1"/>
  <c r="G179" i="2" s="1"/>
  <c r="H179" i="2"/>
  <c r="J179" i="2" s="1"/>
  <c r="L179" i="2" l="1"/>
  <c r="M179" i="2" s="1"/>
  <c r="B180" i="2"/>
  <c r="D180" i="2" s="1"/>
  <c r="K179" i="2"/>
  <c r="E180" i="2" l="1"/>
  <c r="G180" i="2" s="1"/>
  <c r="H180" i="2" l="1"/>
  <c r="J180" i="2" s="1"/>
  <c r="L180" i="2" s="1"/>
  <c r="M180" i="2" s="1"/>
  <c r="K180" i="2"/>
  <c r="B181" i="2" l="1"/>
  <c r="D181" i="2" s="1"/>
  <c r="E181" i="2" l="1"/>
  <c r="G181" i="2" s="1"/>
  <c r="H181" i="2"/>
  <c r="J181" i="2" s="1"/>
  <c r="B182" i="2" s="1"/>
  <c r="L181" i="2" l="1"/>
  <c r="M181" i="2" s="1"/>
  <c r="D182" i="2" s="1"/>
  <c r="K181" i="2"/>
  <c r="E182" i="2" l="1"/>
  <c r="G182" i="2" s="1"/>
  <c r="H182" i="2" l="1"/>
  <c r="J182" i="2" s="1"/>
  <c r="L182" i="2" s="1"/>
  <c r="M182" i="2" s="1"/>
  <c r="B183" i="2"/>
  <c r="K182" i="2"/>
  <c r="D183" i="2" l="1"/>
  <c r="E183" i="2" l="1"/>
  <c r="G183" i="2" s="1"/>
  <c r="H183" i="2"/>
  <c r="J183" i="2" s="1"/>
  <c r="B184" i="2" s="1"/>
  <c r="L183" i="2" l="1"/>
  <c r="M183" i="2" s="1"/>
  <c r="D184" i="2" s="1"/>
  <c r="K183" i="2"/>
  <c r="E184" i="2" l="1"/>
  <c r="G184" i="2" s="1"/>
  <c r="H184" i="2" l="1"/>
  <c r="J184" i="2" s="1"/>
  <c r="L184" i="2" s="1"/>
  <c r="M184" i="2" s="1"/>
  <c r="K184" i="2" l="1"/>
  <c r="B185" i="2"/>
  <c r="D185" i="2" s="1"/>
  <c r="E185" i="2" l="1"/>
  <c r="G185" i="2" s="1"/>
  <c r="H185" i="2" s="1"/>
  <c r="J185" i="2" s="1"/>
  <c r="L185" i="2" l="1"/>
  <c r="M185" i="2" s="1"/>
  <c r="B186" i="2"/>
  <c r="D186" i="2" s="1"/>
  <c r="K185" i="2"/>
  <c r="E186" i="2" l="1"/>
  <c r="G186" i="2" s="1"/>
  <c r="H186" i="2" l="1"/>
  <c r="J186" i="2" s="1"/>
  <c r="L186" i="2" s="1"/>
  <c r="M186" i="2" s="1"/>
  <c r="K186" i="2" l="1"/>
  <c r="B187" i="2"/>
  <c r="D187" i="2" s="1"/>
  <c r="E187" i="2" l="1"/>
  <c r="G187" i="2" s="1"/>
  <c r="H187" i="2" l="1"/>
  <c r="J187" i="2" s="1"/>
  <c r="L187" i="2" s="1"/>
  <c r="M187" i="2" s="1"/>
  <c r="B188" i="2"/>
  <c r="K187" i="2"/>
  <c r="D188" i="2" l="1"/>
  <c r="E188" i="2" l="1"/>
  <c r="G188" i="2" s="1"/>
  <c r="H188" i="2" l="1"/>
  <c r="J188" i="2" s="1"/>
  <c r="L188" i="2" s="1"/>
  <c r="M188" i="2" s="1"/>
  <c r="K188" i="2" l="1"/>
  <c r="B189" i="2"/>
  <c r="D189" i="2" s="1"/>
  <c r="E189" i="2" l="1"/>
  <c r="G189" i="2" s="1"/>
  <c r="H189" i="2" l="1"/>
  <c r="J189" i="2" s="1"/>
  <c r="B190" i="2" s="1"/>
  <c r="K189" i="2" l="1"/>
  <c r="L189" i="2"/>
  <c r="M189" i="2" s="1"/>
  <c r="D190" i="2" l="1"/>
  <c r="E190" i="2" l="1"/>
  <c r="G190" i="2" s="1"/>
  <c r="H190" i="2" l="1"/>
  <c r="J190" i="2" s="1"/>
  <c r="L190" i="2" s="1"/>
  <c r="M190" i="2" s="1"/>
  <c r="K190" i="2" l="1"/>
  <c r="B191" i="2"/>
  <c r="D191" i="2" s="1"/>
  <c r="E191" i="2" l="1"/>
  <c r="G191" i="2" s="1"/>
  <c r="H191" i="2" l="1"/>
  <c r="J191" i="2" s="1"/>
  <c r="L191" i="2" s="1"/>
  <c r="M191" i="2" s="1"/>
  <c r="B192" i="2"/>
  <c r="K191" i="2"/>
  <c r="D192" i="2" l="1"/>
  <c r="E192" i="2" l="1"/>
  <c r="G192" i="2" s="1"/>
  <c r="H192" i="2" l="1"/>
  <c r="J192" i="2" s="1"/>
  <c r="L192" i="2" s="1"/>
  <c r="M192" i="2" s="1"/>
  <c r="K192" i="2"/>
  <c r="B193" i="2" l="1"/>
  <c r="D193" i="2"/>
  <c r="E193" i="2" l="1"/>
  <c r="G193" i="2" s="1"/>
  <c r="H193" i="2" l="1"/>
  <c r="J193" i="2" s="1"/>
  <c r="L193" i="2" s="1"/>
  <c r="M193" i="2" s="1"/>
  <c r="B194" i="2"/>
  <c r="K193" i="2"/>
  <c r="D194" i="2" l="1"/>
  <c r="E194" i="2" l="1"/>
  <c r="G194" i="2" s="1"/>
  <c r="H194" i="2" l="1"/>
  <c r="J194" i="2" s="1"/>
  <c r="B195" i="2" s="1"/>
  <c r="K194" i="2"/>
  <c r="L194" i="2" l="1"/>
  <c r="M194" i="2" s="1"/>
  <c r="D195" i="2"/>
  <c r="E195" i="2" l="1"/>
  <c r="G195" i="2" s="1"/>
  <c r="H195" i="2"/>
  <c r="J195" i="2" s="1"/>
  <c r="L195" i="2" l="1"/>
  <c r="M195" i="2" s="1"/>
  <c r="B196" i="2"/>
  <c r="K195" i="2"/>
  <c r="D196" i="2" l="1"/>
  <c r="E196" i="2"/>
  <c r="G196" i="2" s="1"/>
  <c r="H196" i="2" l="1"/>
  <c r="J196" i="2" s="1"/>
  <c r="B197" i="2" s="1"/>
  <c r="K196" i="2" l="1"/>
  <c r="L196" i="2"/>
  <c r="M196" i="2" s="1"/>
  <c r="D197" i="2" l="1"/>
  <c r="E197" i="2" l="1"/>
  <c r="G197" i="2" s="1"/>
  <c r="H197" i="2" l="1"/>
  <c r="J197" i="2" s="1"/>
  <c r="L197" i="2" s="1"/>
  <c r="M197" i="2" s="1"/>
  <c r="B198" i="2"/>
  <c r="K197" i="2"/>
  <c r="D198" i="2" l="1"/>
  <c r="E198" i="2" l="1"/>
  <c r="G198" i="2" s="1"/>
  <c r="H198" i="2" l="1"/>
  <c r="J198" i="2" s="1"/>
  <c r="L198" i="2" s="1"/>
  <c r="M198" i="2" s="1"/>
  <c r="B199" i="2" l="1"/>
  <c r="D199" i="2" s="1"/>
  <c r="K198" i="2"/>
  <c r="E199" i="2" l="1"/>
  <c r="G199" i="2" s="1"/>
  <c r="H199" i="2" l="1"/>
  <c r="J199" i="2" s="1"/>
  <c r="K199" i="2" s="1"/>
  <c r="B200" i="2" l="1"/>
  <c r="L199" i="2"/>
  <c r="M199" i="2" s="1"/>
  <c r="D200" i="2" l="1"/>
  <c r="E200" i="2" l="1"/>
  <c r="G200" i="2" s="1"/>
  <c r="H200" i="2" l="1"/>
  <c r="J200" i="2" s="1"/>
  <c r="L200" i="2" s="1"/>
  <c r="M200" i="2" s="1"/>
  <c r="K200" i="2" l="1"/>
  <c r="B201" i="2"/>
  <c r="D201" i="2" s="1"/>
  <c r="E201" i="2" l="1"/>
  <c r="G201" i="2" s="1"/>
  <c r="H201" i="2"/>
  <c r="J201" i="2" s="1"/>
  <c r="L201" i="2" l="1"/>
  <c r="M201" i="2" s="1"/>
  <c r="B202" i="2"/>
  <c r="D202" i="2" s="1"/>
  <c r="K201" i="2"/>
  <c r="E202" i="2" l="1"/>
  <c r="G202" i="2" s="1"/>
  <c r="H202" i="2"/>
  <c r="J202" i="2" s="1"/>
  <c r="B203" i="2" s="1"/>
  <c r="L202" i="2" l="1"/>
  <c r="M202" i="2" s="1"/>
  <c r="D203" i="2" s="1"/>
  <c r="K202" i="2"/>
  <c r="E203" i="2" l="1"/>
  <c r="G203" i="2" s="1"/>
  <c r="H203" i="2" l="1"/>
  <c r="J203" i="2" s="1"/>
  <c r="L203" i="2" s="1"/>
  <c r="M203" i="2" s="1"/>
  <c r="K203" i="2"/>
  <c r="B204" i="2" l="1"/>
  <c r="D204" i="2" s="1"/>
  <c r="E204" i="2" l="1"/>
  <c r="G204" i="2" s="1"/>
  <c r="H204" i="2" l="1"/>
  <c r="J204" i="2" s="1"/>
  <c r="B205" i="2" s="1"/>
  <c r="K204" i="2"/>
  <c r="L204" i="2" l="1"/>
  <c r="M204" i="2" s="1"/>
  <c r="D205" i="2" l="1"/>
  <c r="E205" i="2" l="1"/>
  <c r="G205" i="2" s="1"/>
  <c r="H205" i="2" l="1"/>
  <c r="J205" i="2" s="1"/>
  <c r="L205" i="2" s="1"/>
  <c r="M205" i="2" s="1"/>
  <c r="B206" i="2"/>
  <c r="K205" i="2"/>
  <c r="D206" i="2" l="1"/>
  <c r="E206" i="2" l="1"/>
  <c r="G206" i="2" s="1"/>
  <c r="H206" i="2" l="1"/>
  <c r="J206" i="2" s="1"/>
  <c r="L206" i="2" s="1"/>
  <c r="M206" i="2" s="1"/>
  <c r="K206" i="2"/>
  <c r="B207" i="2" l="1"/>
  <c r="D207" i="2" s="1"/>
  <c r="E207" i="2" l="1"/>
  <c r="G207" i="2" s="1"/>
  <c r="H207" i="2" l="1"/>
  <c r="J207" i="2" s="1"/>
  <c r="L207" i="2" s="1"/>
  <c r="M207" i="2" s="1"/>
  <c r="B208" i="2"/>
  <c r="K207" i="2"/>
  <c r="D208" i="2" l="1"/>
  <c r="E208" i="2" l="1"/>
  <c r="G208" i="2" s="1"/>
  <c r="H208" i="2" l="1"/>
  <c r="J208" i="2" s="1"/>
  <c r="L208" i="2" s="1"/>
  <c r="M208" i="2" s="1"/>
  <c r="K208" i="2"/>
  <c r="B209" i="2" l="1"/>
  <c r="D209" i="2" s="1"/>
  <c r="E209" i="2" l="1"/>
  <c r="G209" i="2" s="1"/>
  <c r="H209" i="2" l="1"/>
  <c r="J209" i="2" s="1"/>
  <c r="L209" i="2" s="1"/>
  <c r="M209" i="2" s="1"/>
  <c r="K209" i="2"/>
  <c r="B210" i="2" l="1"/>
  <c r="D210" i="2" s="1"/>
  <c r="E210" i="2" l="1"/>
  <c r="G210" i="2" s="1"/>
  <c r="H210" i="2" l="1"/>
  <c r="J210" i="2" s="1"/>
  <c r="L210" i="2" s="1"/>
  <c r="M210" i="2" s="1"/>
  <c r="B211" i="2" l="1"/>
  <c r="D211" i="2" s="1"/>
  <c r="K210" i="2"/>
  <c r="E211" i="2" l="1"/>
  <c r="G211" i="2" s="1"/>
  <c r="H211" i="2" l="1"/>
  <c r="J211" i="2" s="1"/>
  <c r="L211" i="2" s="1"/>
  <c r="M211" i="2" s="1"/>
  <c r="K211" i="2"/>
  <c r="B212" i="2" l="1"/>
  <c r="D212" i="2" s="1"/>
  <c r="E212" i="2" l="1"/>
  <c r="G212" i="2" s="1"/>
  <c r="H212" i="2" l="1"/>
  <c r="J212" i="2" s="1"/>
  <c r="L212" i="2" s="1"/>
  <c r="M212" i="2" s="1"/>
  <c r="K212" i="2"/>
  <c r="B213" i="2" l="1"/>
  <c r="D213" i="2" s="1"/>
  <c r="E213" i="2" l="1"/>
  <c r="G213" i="2" s="1"/>
  <c r="H213" i="2" l="1"/>
  <c r="J213" i="2" s="1"/>
  <c r="L213" i="2" s="1"/>
  <c r="M213" i="2" s="1"/>
  <c r="K213" i="2" l="1"/>
  <c r="B214" i="2"/>
  <c r="D214" i="2" s="1"/>
  <c r="E214" i="2" l="1"/>
  <c r="G214" i="2" s="1"/>
  <c r="H214" i="2" s="1"/>
  <c r="J214" i="2" s="1"/>
  <c r="L214" i="2" l="1"/>
  <c r="M214" i="2" s="1"/>
  <c r="B215" i="2"/>
  <c r="K214" i="2"/>
  <c r="D215" i="2" l="1"/>
  <c r="E215" i="2"/>
  <c r="G215" i="2" s="1"/>
  <c r="H215" i="2"/>
  <c r="J215" i="2" s="1"/>
  <c r="B216" i="2" s="1"/>
  <c r="L215" i="2" l="1"/>
  <c r="M215" i="2" s="1"/>
  <c r="D216" i="2" s="1"/>
  <c r="K215" i="2"/>
  <c r="E216" i="2" l="1"/>
  <c r="G216" i="2" s="1"/>
  <c r="H216" i="2" s="1"/>
  <c r="J216" i="2" s="1"/>
  <c r="B217" i="2" s="1"/>
  <c r="L216" i="2" l="1"/>
  <c r="M216" i="2" s="1"/>
  <c r="D217" i="2" s="1"/>
  <c r="K216" i="2"/>
  <c r="E217" i="2" l="1"/>
  <c r="G217" i="2" s="1"/>
  <c r="H217" i="2" l="1"/>
  <c r="J217" i="2" s="1"/>
  <c r="K217" i="2" s="1"/>
  <c r="B218" i="2"/>
  <c r="L217" i="2"/>
  <c r="M217" i="2" s="1"/>
  <c r="D218" i="2" l="1"/>
  <c r="E218" i="2" l="1"/>
  <c r="G218" i="2" s="1"/>
  <c r="H218" i="2" l="1"/>
  <c r="J218" i="2" s="1"/>
  <c r="B219" i="2" s="1"/>
  <c r="K218" i="2"/>
  <c r="L218" i="2" l="1"/>
  <c r="M218" i="2" s="1"/>
  <c r="D219" i="2" s="1"/>
  <c r="E219" i="2" s="1"/>
  <c r="G219" i="2" s="1"/>
  <c r="H219" i="2" l="1"/>
  <c r="J219" i="2" s="1"/>
  <c r="L219" i="2" s="1"/>
  <c r="M219" i="2" s="1"/>
  <c r="B220" i="2"/>
  <c r="K219" i="2"/>
  <c r="D220" i="2" l="1"/>
  <c r="E220" i="2" l="1"/>
  <c r="G220" i="2" s="1"/>
  <c r="H220" i="2" l="1"/>
  <c r="J220" i="2" s="1"/>
  <c r="L220" i="2" s="1"/>
  <c r="M220" i="2" s="1"/>
  <c r="K220" i="2" l="1"/>
  <c r="B221" i="2"/>
  <c r="D221" i="2" s="1"/>
  <c r="E221" i="2" l="1"/>
  <c r="G221" i="2" s="1"/>
  <c r="H221" i="2" l="1"/>
  <c r="J221" i="2" s="1"/>
  <c r="K221" i="2" s="1"/>
  <c r="B222" i="2"/>
  <c r="L221" i="2"/>
  <c r="M221" i="2" s="1"/>
  <c r="D222" i="2" l="1"/>
  <c r="E222" i="2" l="1"/>
  <c r="G222" i="2" s="1"/>
  <c r="H222" i="2" l="1"/>
  <c r="J222" i="2" s="1"/>
  <c r="L222" i="2" s="1"/>
  <c r="M222" i="2" s="1"/>
  <c r="B223" i="2"/>
  <c r="K222" i="2"/>
  <c r="D223" i="2" l="1"/>
  <c r="E223" i="2" l="1"/>
  <c r="G223" i="2" s="1"/>
  <c r="H223" i="2" l="1"/>
  <c r="J223" i="2" s="1"/>
  <c r="L223" i="2" s="1"/>
  <c r="M223" i="2" s="1"/>
  <c r="B224" i="2" l="1"/>
  <c r="D224" i="2" s="1"/>
  <c r="K223" i="2"/>
  <c r="E224" i="2" l="1"/>
  <c r="G224" i="2" s="1"/>
  <c r="H224" i="2" l="1"/>
  <c r="J224" i="2" s="1"/>
  <c r="L224" i="2" s="1"/>
  <c r="M224" i="2" s="1"/>
  <c r="K224" i="2" l="1"/>
  <c r="B225" i="2"/>
  <c r="D225" i="2" s="1"/>
  <c r="E225" i="2" l="1"/>
  <c r="G225" i="2" s="1"/>
  <c r="H225" i="2" l="1"/>
  <c r="J225" i="2" s="1"/>
  <c r="L225" i="2" s="1"/>
  <c r="M225" i="2" s="1"/>
  <c r="K225" i="2"/>
  <c r="B226" i="2" l="1"/>
  <c r="D226" i="2" s="1"/>
  <c r="E226" i="2" l="1"/>
  <c r="G226" i="2" s="1"/>
  <c r="H226" i="2" l="1"/>
  <c r="J226" i="2" s="1"/>
  <c r="L226" i="2" s="1"/>
  <c r="M226" i="2" s="1"/>
  <c r="K226" i="2"/>
  <c r="B227" i="2" l="1"/>
  <c r="D227" i="2" s="1"/>
  <c r="E227" i="2" l="1"/>
  <c r="G227" i="2" s="1"/>
  <c r="H227" i="2" l="1"/>
  <c r="J227" i="2" s="1"/>
  <c r="L227" i="2" s="1"/>
  <c r="M227" i="2" s="1"/>
  <c r="K227" i="2"/>
  <c r="B228" i="2" l="1"/>
  <c r="D228" i="2" s="1"/>
  <c r="E228" i="2" l="1"/>
  <c r="G228" i="2" s="1"/>
  <c r="H228" i="2" l="1"/>
  <c r="J228" i="2" s="1"/>
  <c r="L228" i="2" s="1"/>
  <c r="M228" i="2" s="1"/>
  <c r="K228" i="2"/>
  <c r="B229" i="2" l="1"/>
  <c r="D229" i="2" s="1"/>
  <c r="E229" i="2" l="1"/>
  <c r="G229" i="2" s="1"/>
  <c r="H229" i="2" l="1"/>
  <c r="J229" i="2" s="1"/>
  <c r="L229" i="2" s="1"/>
  <c r="M229" i="2" s="1"/>
  <c r="K229" i="2"/>
  <c r="B230" i="2" l="1"/>
  <c r="D230" i="2" s="1"/>
  <c r="E230" i="2" l="1"/>
  <c r="G230" i="2" s="1"/>
  <c r="H230" i="2" l="1"/>
  <c r="J230" i="2" s="1"/>
  <c r="L230" i="2" s="1"/>
  <c r="M230" i="2" s="1"/>
  <c r="K230" i="2"/>
  <c r="B231" i="2" l="1"/>
  <c r="D231" i="2" s="1"/>
  <c r="E231" i="2" l="1"/>
  <c r="G231" i="2" s="1"/>
  <c r="H231" i="2" l="1"/>
  <c r="J231" i="2" s="1"/>
  <c r="L231" i="2" s="1"/>
  <c r="M231" i="2" s="1"/>
  <c r="K231" i="2"/>
  <c r="B232" i="2" l="1"/>
  <c r="D232" i="2" s="1"/>
  <c r="E232" i="2" l="1"/>
  <c r="G232" i="2" s="1"/>
  <c r="H232" i="2" l="1"/>
  <c r="J232" i="2" s="1"/>
  <c r="B233" i="2" s="1"/>
  <c r="K232" i="2"/>
  <c r="L232" i="2" l="1"/>
  <c r="M232" i="2" s="1"/>
  <c r="D233" i="2" l="1"/>
  <c r="E233" i="2" l="1"/>
  <c r="G233" i="2" s="1"/>
  <c r="H233" i="2" l="1"/>
  <c r="J233" i="2" s="1"/>
  <c r="L233" i="2" s="1"/>
  <c r="M233" i="2" s="1"/>
  <c r="B234" i="2"/>
  <c r="K233" i="2"/>
  <c r="D234" i="2" l="1"/>
  <c r="E234" i="2" l="1"/>
  <c r="G234" i="2" s="1"/>
  <c r="H234" i="2" s="1"/>
  <c r="J234" i="2" s="1"/>
  <c r="L234" i="2" l="1"/>
  <c r="M234" i="2" s="1"/>
  <c r="B235" i="2"/>
  <c r="D235" i="2" s="1"/>
  <c r="K234" i="2"/>
  <c r="E235" i="2" l="1"/>
  <c r="G235" i="2" s="1"/>
  <c r="H235" i="2" l="1"/>
  <c r="J235" i="2" s="1"/>
  <c r="L235" i="2" s="1"/>
  <c r="M235" i="2" s="1"/>
  <c r="B236" i="2"/>
  <c r="K235" i="2"/>
  <c r="D236" i="2" l="1"/>
  <c r="E236" i="2" l="1"/>
  <c r="G236" i="2" s="1"/>
  <c r="H236" i="2" l="1"/>
  <c r="J236" i="2" s="1"/>
  <c r="L236" i="2" s="1"/>
  <c r="M236" i="2" s="1"/>
  <c r="K236" i="2" l="1"/>
  <c r="B237" i="2"/>
  <c r="D237" i="2" s="1"/>
  <c r="E237" i="2" l="1"/>
  <c r="G237" i="2" s="1"/>
  <c r="H237" i="2" l="1"/>
  <c r="J237" i="2" s="1"/>
  <c r="L237" i="2" s="1"/>
  <c r="M237" i="2" s="1"/>
  <c r="K237" i="2" l="1"/>
  <c r="B238" i="2"/>
  <c r="D238" i="2" s="1"/>
  <c r="E238" i="2" l="1"/>
  <c r="G238" i="2" s="1"/>
  <c r="H238" i="2" l="1"/>
  <c r="J238" i="2" s="1"/>
  <c r="L238" i="2" s="1"/>
  <c r="M238" i="2" s="1"/>
  <c r="B239" i="2"/>
  <c r="K238" i="2"/>
  <c r="D239" i="2" l="1"/>
  <c r="E239" i="2" l="1"/>
  <c r="G239" i="2" s="1"/>
  <c r="H239" i="2" l="1"/>
  <c r="J239" i="2" s="1"/>
  <c r="L239" i="2" s="1"/>
  <c r="M239" i="2" s="1"/>
  <c r="K239" i="2"/>
  <c r="B240" i="2" l="1"/>
  <c r="D240" i="2" s="1"/>
  <c r="E240" i="2" l="1"/>
  <c r="G240" i="2" s="1"/>
  <c r="H240" i="2" l="1"/>
  <c r="J240" i="2" s="1"/>
  <c r="L240" i="2" s="1"/>
  <c r="M240" i="2" s="1"/>
  <c r="K240" i="2"/>
  <c r="B241" i="2" l="1"/>
  <c r="D241" i="2" s="1"/>
  <c r="E241" i="2" l="1"/>
  <c r="G241" i="2" s="1"/>
  <c r="H241" i="2" l="1"/>
  <c r="J241" i="2" s="1"/>
  <c r="L241" i="2" s="1"/>
  <c r="M241" i="2" s="1"/>
  <c r="B242" i="2" l="1"/>
  <c r="D242" i="2" s="1"/>
  <c r="K241" i="2"/>
  <c r="E242" i="2" l="1"/>
  <c r="G242" i="2" s="1"/>
  <c r="H242" i="2" l="1"/>
  <c r="J242" i="2" s="1"/>
  <c r="L242" i="2" s="1"/>
  <c r="M242" i="2" s="1"/>
  <c r="K242" i="2" l="1"/>
  <c r="B243" i="2"/>
  <c r="D243" i="2"/>
  <c r="E243" i="2" l="1"/>
  <c r="G243" i="2" s="1"/>
  <c r="H243" i="2" l="1"/>
  <c r="J243" i="2" s="1"/>
  <c r="L243" i="2" s="1"/>
  <c r="M243" i="2" s="1"/>
  <c r="K243" i="2"/>
  <c r="B244" i="2" l="1"/>
  <c r="D244" i="2" s="1"/>
  <c r="E244" i="2" l="1"/>
  <c r="G244" i="2" s="1"/>
  <c r="H244" i="2" l="1"/>
  <c r="J244" i="2" s="1"/>
  <c r="L244" i="2" s="1"/>
  <c r="M244" i="2" s="1"/>
  <c r="K244" i="2"/>
  <c r="B245" i="2" l="1"/>
  <c r="D245" i="2" s="1"/>
  <c r="E245" i="2" l="1"/>
  <c r="G245" i="2" s="1"/>
  <c r="H245" i="2" l="1"/>
  <c r="J245" i="2" s="1"/>
  <c r="L245" i="2" s="1"/>
  <c r="M245" i="2" s="1"/>
  <c r="K245" i="2" l="1"/>
  <c r="B246" i="2"/>
  <c r="D246" i="2" s="1"/>
  <c r="E246" i="2" l="1"/>
  <c r="G246" i="2" s="1"/>
  <c r="H246" i="2"/>
  <c r="J246" i="2" s="1"/>
  <c r="L246" i="2" l="1"/>
  <c r="M246" i="2" s="1"/>
  <c r="B247" i="2"/>
  <c r="K246" i="2"/>
  <c r="D247" i="2" l="1"/>
  <c r="E247" i="2"/>
  <c r="G247" i="2" s="1"/>
  <c r="H247" i="2" l="1"/>
  <c r="J247" i="2" s="1"/>
  <c r="L247" i="2" s="1"/>
  <c r="M247" i="2" s="1"/>
  <c r="K247" i="2"/>
  <c r="B248" i="2" l="1"/>
  <c r="D248" i="2"/>
  <c r="E248" i="2" l="1"/>
  <c r="G248" i="2" s="1"/>
  <c r="H248" i="2" l="1"/>
  <c r="J248" i="2" s="1"/>
  <c r="L248" i="2" s="1"/>
  <c r="M248" i="2" s="1"/>
  <c r="B249" i="2"/>
  <c r="K248" i="2"/>
  <c r="D249" i="2" l="1"/>
  <c r="E249" i="2" l="1"/>
  <c r="G249" i="2" s="1"/>
  <c r="H249" i="2" l="1"/>
  <c r="J249" i="2" s="1"/>
  <c r="B250" i="2" s="1"/>
  <c r="K249" i="2"/>
  <c r="L249" i="2" l="1"/>
  <c r="M249" i="2" s="1"/>
  <c r="D250" i="2" l="1"/>
  <c r="E250" i="2" l="1"/>
  <c r="G250" i="2" s="1"/>
  <c r="H250" i="2" l="1"/>
  <c r="J250" i="2" s="1"/>
  <c r="L250" i="2" s="1"/>
  <c r="M250" i="2" s="1"/>
  <c r="B251" i="2"/>
  <c r="K250" i="2"/>
  <c r="D251" i="2" l="1"/>
  <c r="E251" i="2" l="1"/>
  <c r="G251" i="2" s="1"/>
  <c r="H251" i="2" l="1"/>
  <c r="J251" i="2" s="1"/>
  <c r="L251" i="2" s="1"/>
  <c r="M251" i="2" s="1"/>
  <c r="B252" i="2"/>
  <c r="D252" i="2" l="1"/>
  <c r="K251" i="2"/>
  <c r="E252" i="2" l="1"/>
  <c r="G252" i="2" s="1"/>
  <c r="H252" i="2" l="1"/>
  <c r="J252" i="2" s="1"/>
  <c r="L252" i="2" s="1"/>
  <c r="M252" i="2" s="1"/>
  <c r="K252" i="2"/>
  <c r="B253" i="2" l="1"/>
  <c r="D253" i="2" s="1"/>
  <c r="E253" i="2" l="1"/>
  <c r="G253" i="2" s="1"/>
  <c r="H253" i="2" l="1"/>
  <c r="J253" i="2" s="1"/>
  <c r="L253" i="2" s="1"/>
  <c r="M253" i="2" s="1"/>
  <c r="B254" i="2"/>
  <c r="K253" i="2"/>
  <c r="D254" i="2" l="1"/>
  <c r="E254" i="2"/>
  <c r="G254" i="2" s="1"/>
  <c r="H254" i="2" l="1"/>
  <c r="J254" i="2" s="1"/>
  <c r="L254" i="2" s="1"/>
  <c r="M254" i="2" s="1"/>
  <c r="B255" i="2"/>
  <c r="K254" i="2"/>
  <c r="D255" i="2" l="1"/>
  <c r="E255" i="2" l="1"/>
  <c r="G255" i="2" s="1"/>
  <c r="H255" i="2" l="1"/>
  <c r="J255" i="2" s="1"/>
  <c r="B256" i="2" s="1"/>
  <c r="K255" i="2"/>
  <c r="L255" i="2" l="1"/>
  <c r="M255" i="2" s="1"/>
  <c r="D256" i="2" l="1"/>
  <c r="E256" i="2" l="1"/>
  <c r="G256" i="2" s="1"/>
  <c r="H256" i="2" l="1"/>
  <c r="J256" i="2" s="1"/>
  <c r="L256" i="2" s="1"/>
  <c r="M256" i="2" s="1"/>
  <c r="B257" i="2"/>
  <c r="K256" i="2"/>
  <c r="D257" i="2" l="1"/>
  <c r="E257" i="2" l="1"/>
  <c r="G257" i="2" s="1"/>
  <c r="H257" i="2" l="1"/>
  <c r="J257" i="2" s="1"/>
  <c r="B258" i="2" s="1"/>
  <c r="K257" i="2"/>
  <c r="L257" i="2" l="1"/>
  <c r="M257" i="2" s="1"/>
  <c r="D258" i="2" l="1"/>
  <c r="E258" i="2" l="1"/>
  <c r="G258" i="2" s="1"/>
  <c r="H258" i="2" l="1"/>
  <c r="J258" i="2" s="1"/>
  <c r="L258" i="2" s="1"/>
  <c r="M258" i="2" s="1"/>
  <c r="K258" i="2"/>
  <c r="B259" i="2" l="1"/>
  <c r="D259" i="2" s="1"/>
  <c r="E259" i="2" l="1"/>
  <c r="G259" i="2" s="1"/>
  <c r="H259" i="2" l="1"/>
  <c r="J259" i="2" s="1"/>
  <c r="L259" i="2" s="1"/>
  <c r="M259" i="2" s="1"/>
  <c r="B260" i="2"/>
  <c r="K259" i="2"/>
  <c r="D260" i="2" l="1"/>
  <c r="E260" i="2" l="1"/>
  <c r="G260" i="2" s="1"/>
  <c r="H260" i="2" l="1"/>
  <c r="J260" i="2" s="1"/>
  <c r="L260" i="2" s="1"/>
  <c r="M260" i="2" s="1"/>
  <c r="K260" i="2" l="1"/>
  <c r="B261" i="2"/>
  <c r="D261" i="2" s="1"/>
  <c r="E261" i="2" l="1"/>
  <c r="G261" i="2" s="1"/>
  <c r="H261" i="2" l="1"/>
  <c r="J261" i="2" s="1"/>
  <c r="L261" i="2" s="1"/>
  <c r="M261" i="2" s="1"/>
  <c r="K261" i="2"/>
  <c r="B262" i="2" l="1"/>
  <c r="D262" i="2" s="1"/>
  <c r="E262" i="2" l="1"/>
  <c r="G262" i="2" s="1"/>
  <c r="H262" i="2" l="1"/>
  <c r="J262" i="2" s="1"/>
  <c r="L262" i="2" s="1"/>
  <c r="M262" i="2" s="1"/>
  <c r="K262" i="2"/>
  <c r="B263" i="2"/>
  <c r="D263" i="2" l="1"/>
  <c r="E263" i="2" l="1"/>
  <c r="G263" i="2" s="1"/>
  <c r="H263" i="2" l="1"/>
  <c r="J263" i="2" s="1"/>
  <c r="L263" i="2" s="1"/>
  <c r="M263" i="2" s="1"/>
  <c r="K263" i="2"/>
  <c r="B264" i="2" l="1"/>
  <c r="D264" i="2" s="1"/>
  <c r="E264" i="2" l="1"/>
  <c r="G264" i="2" s="1"/>
  <c r="H264" i="2" l="1"/>
  <c r="J264" i="2" s="1"/>
  <c r="B265" i="2" s="1"/>
  <c r="K264" i="2" l="1"/>
  <c r="L264" i="2"/>
  <c r="M264" i="2" s="1"/>
  <c r="D265" i="2" l="1"/>
  <c r="E265" i="2" l="1"/>
  <c r="G265" i="2" s="1"/>
  <c r="H265" i="2" l="1"/>
  <c r="J265" i="2" s="1"/>
  <c r="L265" i="2" s="1"/>
  <c r="M265" i="2" s="1"/>
  <c r="K265" i="2"/>
  <c r="B266" i="2" l="1"/>
  <c r="D266" i="2" s="1"/>
  <c r="E266" i="2" l="1"/>
  <c r="G266" i="2" s="1"/>
  <c r="H266" i="2" l="1"/>
  <c r="J266" i="2" s="1"/>
  <c r="L266" i="2" s="1"/>
  <c r="M266" i="2" s="1"/>
  <c r="K266" i="2"/>
  <c r="B267" i="2" l="1"/>
  <c r="D267" i="2" s="1"/>
  <c r="E267" i="2" l="1"/>
  <c r="G267" i="2" s="1"/>
  <c r="H267" i="2" s="1"/>
  <c r="J267" i="2" s="1"/>
  <c r="L267" i="2" l="1"/>
  <c r="M267" i="2" s="1"/>
  <c r="B268" i="2"/>
  <c r="D268" i="2" s="1"/>
  <c r="K267" i="2"/>
  <c r="E268" i="2" l="1"/>
  <c r="G268" i="2" s="1"/>
  <c r="H268" i="2" l="1"/>
  <c r="J268" i="2" s="1"/>
  <c r="B269" i="2" s="1"/>
  <c r="K268" i="2"/>
  <c r="L268" i="2" l="1"/>
  <c r="M268" i="2" s="1"/>
  <c r="D269" i="2" l="1"/>
  <c r="E269" i="2" l="1"/>
  <c r="G269" i="2" s="1"/>
  <c r="H269" i="2" l="1"/>
  <c r="J269" i="2" s="1"/>
  <c r="L269" i="2" s="1"/>
  <c r="M269" i="2" s="1"/>
  <c r="K269" i="2"/>
  <c r="B270" i="2"/>
  <c r="D270" i="2" l="1"/>
  <c r="E270" i="2" l="1"/>
  <c r="G270" i="2" s="1"/>
  <c r="H270" i="2" l="1"/>
  <c r="J270" i="2" s="1"/>
  <c r="L270" i="2" s="1"/>
  <c r="M270" i="2" s="1"/>
  <c r="K270" i="2"/>
  <c r="B271" i="2" l="1"/>
  <c r="D271" i="2" s="1"/>
  <c r="E271" i="2" l="1"/>
  <c r="G271" i="2" s="1"/>
  <c r="H271" i="2" l="1"/>
  <c r="J271" i="2" s="1"/>
  <c r="L271" i="2" s="1"/>
  <c r="M271" i="2" s="1"/>
  <c r="K271" i="2"/>
  <c r="B272" i="2" l="1"/>
  <c r="D272" i="2" s="1"/>
  <c r="E272" i="2" l="1"/>
  <c r="G272" i="2" s="1"/>
  <c r="H272" i="2" l="1"/>
  <c r="J272" i="2" s="1"/>
  <c r="L272" i="2" s="1"/>
  <c r="M272" i="2" s="1"/>
  <c r="K272" i="2" l="1"/>
  <c r="B273" i="2"/>
  <c r="D273" i="2"/>
  <c r="E273" i="2" l="1"/>
  <c r="G273" i="2" s="1"/>
  <c r="H273" i="2" l="1"/>
  <c r="J273" i="2" s="1"/>
  <c r="L273" i="2" s="1"/>
  <c r="M273" i="2" s="1"/>
  <c r="K273" i="2"/>
  <c r="B274" i="2" l="1"/>
  <c r="D274" i="2" s="1"/>
  <c r="E274" i="2" l="1"/>
  <c r="G274" i="2" s="1"/>
  <c r="H274" i="2" l="1"/>
  <c r="J274" i="2" s="1"/>
  <c r="L274" i="2" s="1"/>
  <c r="M274" i="2" s="1"/>
  <c r="B275" i="2"/>
  <c r="K274" i="2"/>
  <c r="D275" i="2" l="1"/>
  <c r="E275" i="2" l="1"/>
  <c r="G275" i="2" s="1"/>
  <c r="H275" i="2" l="1"/>
  <c r="J275" i="2" s="1"/>
  <c r="B276" i="2" s="1"/>
  <c r="K275" i="2"/>
  <c r="L275" i="2" l="1"/>
  <c r="M275" i="2" s="1"/>
  <c r="D276" i="2" l="1"/>
  <c r="E276" i="2" l="1"/>
  <c r="G276" i="2" s="1"/>
  <c r="H276" i="2" l="1"/>
  <c r="J276" i="2" s="1"/>
  <c r="L276" i="2" s="1"/>
  <c r="M276" i="2" s="1"/>
  <c r="K276" i="2"/>
  <c r="B277" i="2" l="1"/>
  <c r="D277" i="2" s="1"/>
  <c r="E277" i="2" l="1"/>
  <c r="G277" i="2" s="1"/>
  <c r="H277" i="2" l="1"/>
  <c r="J277" i="2" s="1"/>
  <c r="L277" i="2" s="1"/>
  <c r="M277" i="2" s="1"/>
  <c r="B278" i="2"/>
  <c r="K277" i="2"/>
  <c r="D278" i="2" l="1"/>
  <c r="E278" i="2" l="1"/>
  <c r="G278" i="2" s="1"/>
  <c r="H278" i="2"/>
  <c r="J278" i="2" s="1"/>
  <c r="B279" i="2" s="1"/>
  <c r="L278" i="2" l="1"/>
  <c r="M278" i="2" s="1"/>
  <c r="D279" i="2"/>
  <c r="K278" i="2"/>
  <c r="E279" i="2" l="1"/>
  <c r="G279" i="2" s="1"/>
  <c r="H279" i="2" l="1"/>
  <c r="J279" i="2" s="1"/>
  <c r="L279" i="2" s="1"/>
  <c r="M279" i="2" s="1"/>
  <c r="K279" i="2"/>
  <c r="B280" i="2" l="1"/>
  <c r="D280" i="2" s="1"/>
  <c r="E280" i="2" l="1"/>
  <c r="G280" i="2" s="1"/>
  <c r="H280" i="2" l="1"/>
  <c r="J280" i="2" s="1"/>
  <c r="L280" i="2" s="1"/>
  <c r="M280" i="2" s="1"/>
  <c r="K280" i="2"/>
  <c r="B281" i="2" l="1"/>
  <c r="D281" i="2" s="1"/>
  <c r="E281" i="2" l="1"/>
  <c r="G281" i="2" s="1"/>
  <c r="H281" i="2" l="1"/>
  <c r="J281" i="2" s="1"/>
  <c r="L281" i="2" s="1"/>
  <c r="M281" i="2" s="1"/>
  <c r="K281" i="2"/>
  <c r="B282" i="2" l="1"/>
  <c r="D282" i="2" s="1"/>
  <c r="E282" i="2" l="1"/>
  <c r="G282" i="2" s="1"/>
  <c r="H282" i="2" l="1"/>
  <c r="J282" i="2" s="1"/>
  <c r="L282" i="2" s="1"/>
  <c r="M282" i="2" s="1"/>
  <c r="B283" i="2"/>
  <c r="K282" i="2"/>
  <c r="D283" i="2" l="1"/>
  <c r="E283" i="2" l="1"/>
  <c r="G283" i="2" s="1"/>
  <c r="H283" i="2" l="1"/>
  <c r="J283" i="2" s="1"/>
  <c r="L283" i="2" s="1"/>
  <c r="M283" i="2" s="1"/>
  <c r="K283" i="2"/>
  <c r="B284" i="2" l="1"/>
  <c r="D284" i="2" s="1"/>
  <c r="E284" i="2" l="1"/>
  <c r="G284" i="2" s="1"/>
  <c r="H284" i="2" l="1"/>
  <c r="J284" i="2" s="1"/>
  <c r="L284" i="2" s="1"/>
  <c r="M284" i="2" s="1"/>
  <c r="B285" i="2"/>
  <c r="K284" i="2"/>
  <c r="D285" i="2" l="1"/>
  <c r="E285" i="2" l="1"/>
  <c r="G285" i="2" s="1"/>
  <c r="H285" i="2" l="1"/>
  <c r="J285" i="2" s="1"/>
  <c r="L285" i="2" s="1"/>
  <c r="M285" i="2" s="1"/>
  <c r="K285" i="2"/>
  <c r="B286" i="2" l="1"/>
  <c r="D286" i="2" s="1"/>
  <c r="E286" i="2" l="1"/>
  <c r="G286" i="2" s="1"/>
  <c r="H286" i="2" s="1"/>
  <c r="J286" i="2" s="1"/>
  <c r="L286" i="2" l="1"/>
  <c r="M286" i="2" s="1"/>
  <c r="B287" i="2"/>
  <c r="K286" i="2"/>
  <c r="D287" i="2" l="1"/>
  <c r="E287" i="2"/>
  <c r="G287" i="2" s="1"/>
  <c r="H287" i="2" l="1"/>
  <c r="J287" i="2" s="1"/>
  <c r="L287" i="2" s="1"/>
  <c r="M287" i="2" s="1"/>
  <c r="K287" i="2"/>
  <c r="B288" i="2" l="1"/>
  <c r="D288" i="2" s="1"/>
  <c r="E288" i="2" l="1"/>
  <c r="G288" i="2" s="1"/>
  <c r="H288" i="2" l="1"/>
  <c r="J288" i="2" s="1"/>
  <c r="L288" i="2" s="1"/>
  <c r="M288" i="2" s="1"/>
  <c r="K288" i="2"/>
  <c r="B289" i="2" l="1"/>
  <c r="D289" i="2" s="1"/>
  <c r="E289" i="2" l="1"/>
  <c r="G289" i="2" s="1"/>
  <c r="H289" i="2" l="1"/>
  <c r="J289" i="2" s="1"/>
  <c r="L289" i="2" s="1"/>
  <c r="M289" i="2" s="1"/>
  <c r="K289" i="2"/>
  <c r="B290" i="2" l="1"/>
  <c r="D290" i="2" s="1"/>
  <c r="E290" i="2" l="1"/>
  <c r="G290" i="2" s="1"/>
  <c r="H290" i="2" l="1"/>
  <c r="J290" i="2" s="1"/>
  <c r="L290" i="2" s="1"/>
  <c r="M290" i="2" s="1"/>
  <c r="K290" i="2"/>
  <c r="B291" i="2" l="1"/>
  <c r="D291" i="2" s="1"/>
  <c r="E291" i="2" l="1"/>
  <c r="G291" i="2" s="1"/>
  <c r="H291" i="2"/>
  <c r="J291" i="2" s="1"/>
  <c r="L291" i="2" l="1"/>
  <c r="M291" i="2" s="1"/>
  <c r="G292" i="2"/>
  <c r="J292" i="2"/>
  <c r="D292" i="2"/>
  <c r="B292" i="2"/>
  <c r="K291" i="2"/>
  <c r="L292" i="2" l="1"/>
  <c r="M292" i="2" s="1"/>
  <c r="K292" i="2"/>
  <c r="B293" i="2"/>
  <c r="H292" i="2"/>
  <c r="E292" i="2"/>
  <c r="D293" i="2" l="1"/>
  <c r="J293" i="2"/>
  <c r="G293" i="2"/>
  <c r="L293" i="2" l="1"/>
  <c r="M293" i="2" s="1"/>
  <c r="K293" i="2"/>
  <c r="E293" i="2"/>
  <c r="B294" i="2"/>
  <c r="H293" i="2"/>
  <c r="G294" i="2" l="1"/>
  <c r="D294" i="2"/>
  <c r="J294" i="2"/>
  <c r="L294" i="2" l="1"/>
  <c r="M294" i="2" s="1"/>
  <c r="K294" i="2"/>
  <c r="H294" i="2"/>
  <c r="B295" i="2"/>
  <c r="E294" i="2"/>
  <c r="D295" i="2" l="1"/>
  <c r="G295" i="2"/>
  <c r="J295" i="2"/>
  <c r="L295" i="2" l="1"/>
  <c r="M295" i="2" s="1"/>
  <c r="K295" i="2"/>
  <c r="E295" i="2"/>
  <c r="H295" i="2"/>
  <c r="B296" i="2"/>
  <c r="G296" i="2" l="1"/>
  <c r="J296" i="2"/>
  <c r="D296" i="2"/>
  <c r="L296" i="2" l="1"/>
  <c r="M296" i="2" s="1"/>
  <c r="K296" i="2"/>
  <c r="H296" i="2"/>
  <c r="B297" i="2"/>
  <c r="E296" i="2"/>
  <c r="D297" i="2" l="1"/>
  <c r="J297" i="2"/>
  <c r="G297" i="2"/>
  <c r="L297" i="2" l="1"/>
  <c r="M297" i="2" s="1"/>
  <c r="K297" i="2"/>
  <c r="E297" i="2"/>
  <c r="B298" i="2"/>
  <c r="H297" i="2"/>
  <c r="G298" i="2" l="1"/>
  <c r="J298" i="2"/>
  <c r="D298" i="2"/>
  <c r="L298" i="2" l="1"/>
  <c r="M298" i="2" s="1"/>
  <c r="K298" i="2"/>
  <c r="E298" i="2"/>
  <c r="H298" i="2"/>
  <c r="B299" i="2"/>
  <c r="D299" i="2" l="1"/>
  <c r="J299" i="2"/>
  <c r="G299" i="2"/>
  <c r="L299" i="2" l="1"/>
  <c r="M299" i="2" s="1"/>
  <c r="K299" i="2"/>
  <c r="E299" i="2"/>
  <c r="B300" i="2"/>
  <c r="H299" i="2"/>
  <c r="G300" i="2" l="1"/>
  <c r="J300" i="2"/>
  <c r="D300" i="2"/>
  <c r="L300" i="2" l="1"/>
  <c r="M300" i="2" s="1"/>
  <c r="K300" i="2"/>
  <c r="E300" i="2"/>
  <c r="B301" i="2"/>
  <c r="H300" i="2"/>
  <c r="D301" i="2" l="1"/>
  <c r="J301" i="2"/>
  <c r="G301" i="2"/>
  <c r="L301" i="2" l="1"/>
  <c r="M301" i="2" s="1"/>
  <c r="K301" i="2"/>
  <c r="E301" i="2"/>
  <c r="H301" i="2"/>
  <c r="B302" i="2"/>
  <c r="G302" i="2" l="1"/>
  <c r="J302" i="2"/>
  <c r="D302" i="2"/>
  <c r="L302" i="2" l="1"/>
  <c r="M302" i="2" s="1"/>
  <c r="K302" i="2"/>
  <c r="E302" i="2"/>
  <c r="B303" i="2"/>
  <c r="H302" i="2"/>
  <c r="D303" i="2" l="1"/>
  <c r="J303" i="2"/>
  <c r="G303" i="2"/>
  <c r="L303" i="2" l="1"/>
  <c r="M303" i="2" s="1"/>
  <c r="K303" i="2"/>
  <c r="B304" i="2"/>
  <c r="H303" i="2"/>
  <c r="E303" i="2"/>
  <c r="G304" i="2" l="1"/>
  <c r="D304" i="2"/>
  <c r="J304" i="2"/>
  <c r="L304" i="2" l="1"/>
  <c r="M304" i="2" s="1"/>
  <c r="K304" i="2"/>
  <c r="B305" i="2"/>
  <c r="E304" i="2"/>
  <c r="H304" i="2"/>
  <c r="D305" i="2" l="1"/>
  <c r="J305" i="2"/>
  <c r="G305" i="2"/>
  <c r="L305" i="2" l="1"/>
  <c r="M305" i="2" s="1"/>
  <c r="K305" i="2"/>
  <c r="H305" i="2"/>
  <c r="E305" i="2"/>
  <c r="B306" i="2"/>
  <c r="G306" i="2" l="1"/>
  <c r="D306" i="2"/>
  <c r="J306" i="2"/>
  <c r="L306" i="2" l="1"/>
  <c r="M306" i="2" s="1"/>
  <c r="K306" i="2"/>
  <c r="E306" i="2"/>
  <c r="H306" i="2"/>
  <c r="B307" i="2"/>
  <c r="D307" i="2" l="1"/>
  <c r="J307" i="2"/>
  <c r="G307" i="2"/>
  <c r="L307" i="2" l="1"/>
  <c r="M307" i="2" s="1"/>
  <c r="K307" i="2"/>
  <c r="E307" i="2"/>
  <c r="B308" i="2"/>
  <c r="H307" i="2"/>
  <c r="G308" i="2" l="1"/>
  <c r="D308" i="2"/>
  <c r="J308" i="2"/>
  <c r="L308" i="2" l="1"/>
  <c r="M308" i="2" s="1"/>
  <c r="K308" i="2"/>
  <c r="H308" i="2"/>
  <c r="B309" i="2"/>
  <c r="E308" i="2"/>
  <c r="D309" i="2" l="1"/>
  <c r="J309" i="2"/>
  <c r="G309" i="2"/>
  <c r="L309" i="2" l="1"/>
  <c r="M309" i="2" s="1"/>
  <c r="K309" i="2"/>
  <c r="E309" i="2"/>
  <c r="B310" i="2"/>
  <c r="H309" i="2"/>
  <c r="G310" i="2" l="1"/>
  <c r="D310" i="2"/>
  <c r="J310" i="2"/>
  <c r="L310" i="2" l="1"/>
  <c r="M310" i="2" s="1"/>
  <c r="K310" i="2"/>
  <c r="H310" i="2"/>
  <c r="B311" i="2"/>
  <c r="E310" i="2"/>
  <c r="D311" i="2" l="1"/>
  <c r="J311" i="2"/>
  <c r="G311" i="2"/>
  <c r="L311" i="2" l="1"/>
  <c r="M311" i="2" s="1"/>
  <c r="K311" i="2"/>
  <c r="E311" i="2"/>
  <c r="B312" i="2"/>
  <c r="H311" i="2"/>
  <c r="G312" i="2" l="1"/>
  <c r="D312" i="2"/>
  <c r="J312" i="2"/>
  <c r="L312" i="2" l="1"/>
  <c r="M312" i="2" s="1"/>
  <c r="K312" i="2"/>
  <c r="H312" i="2"/>
  <c r="B313" i="2"/>
  <c r="E312" i="2"/>
  <c r="D313" i="2" l="1"/>
  <c r="J313" i="2"/>
  <c r="G313" i="2"/>
  <c r="L313" i="2" l="1"/>
  <c r="M313" i="2" s="1"/>
  <c r="K313" i="2"/>
  <c r="E313" i="2"/>
  <c r="B314" i="2"/>
  <c r="H313" i="2"/>
  <c r="G314" i="2" l="1"/>
  <c r="D314" i="2"/>
  <c r="J314" i="2"/>
  <c r="L314" i="2" l="1"/>
  <c r="M314" i="2" s="1"/>
  <c r="K314" i="2"/>
  <c r="E314" i="2"/>
  <c r="H314" i="2"/>
  <c r="B315" i="2"/>
  <c r="D315" i="2" l="1"/>
  <c r="J315" i="2"/>
  <c r="G315" i="2"/>
  <c r="L315" i="2" l="1"/>
  <c r="M315" i="2" s="1"/>
  <c r="K315" i="2"/>
  <c r="E315" i="2"/>
  <c r="B316" i="2"/>
  <c r="H315" i="2"/>
  <c r="G316" i="2" l="1"/>
  <c r="D316" i="2"/>
  <c r="J316" i="2"/>
  <c r="L316" i="2" l="1"/>
  <c r="M316" i="2" s="1"/>
  <c r="K316" i="2"/>
  <c r="E316" i="2"/>
  <c r="B317" i="2"/>
  <c r="H316" i="2"/>
  <c r="D317" i="2" l="1"/>
  <c r="J317" i="2"/>
  <c r="G317" i="2"/>
  <c r="L317" i="2" l="1"/>
  <c r="M317" i="2" s="1"/>
  <c r="K317" i="2"/>
  <c r="E317" i="2"/>
  <c r="B318" i="2"/>
  <c r="H317" i="2"/>
  <c r="G318" i="2" l="1"/>
  <c r="D318" i="2"/>
  <c r="J318" i="2"/>
  <c r="L318" i="2" l="1"/>
  <c r="M318" i="2" s="1"/>
  <c r="K318" i="2"/>
  <c r="E318" i="2"/>
  <c r="B319" i="2"/>
  <c r="H318" i="2"/>
  <c r="D319" i="2" l="1"/>
  <c r="J319" i="2"/>
  <c r="G319" i="2"/>
  <c r="L319" i="2" l="1"/>
  <c r="M319" i="2" s="1"/>
  <c r="K319" i="2"/>
  <c r="B320" i="2"/>
  <c r="H319" i="2"/>
  <c r="E319" i="2"/>
  <c r="G320" i="2" l="1"/>
  <c r="D320" i="2"/>
  <c r="J320" i="2"/>
  <c r="L320" i="2" l="1"/>
  <c r="M320" i="2" s="1"/>
  <c r="K320" i="2"/>
  <c r="B321" i="2"/>
  <c r="E320" i="2"/>
  <c r="H320" i="2"/>
  <c r="D321" i="2" l="1"/>
  <c r="J321" i="2"/>
  <c r="G321" i="2"/>
  <c r="L321" i="2" l="1"/>
  <c r="M321" i="2" s="1"/>
  <c r="K321" i="2"/>
  <c r="H321" i="2"/>
  <c r="E321" i="2"/>
  <c r="B322" i="2"/>
  <c r="G322" i="2" l="1"/>
  <c r="D322" i="2"/>
  <c r="J322" i="2"/>
  <c r="L322" i="2" l="1"/>
  <c r="M322" i="2" s="1"/>
  <c r="K322" i="2"/>
  <c r="E322" i="2"/>
  <c r="H322" i="2"/>
  <c r="B323" i="2"/>
  <c r="D323" i="2" l="1"/>
  <c r="J323" i="2"/>
  <c r="G323" i="2"/>
  <c r="L323" i="2" l="1"/>
  <c r="M323" i="2" s="1"/>
  <c r="K323" i="2"/>
  <c r="E323" i="2"/>
  <c r="B324" i="2"/>
  <c r="H323" i="2"/>
  <c r="G324" i="2" l="1"/>
  <c r="D324" i="2"/>
  <c r="J324" i="2"/>
  <c r="L324" i="2" l="1"/>
  <c r="M324" i="2" s="1"/>
  <c r="K324" i="2"/>
  <c r="H324" i="2"/>
  <c r="B325" i="2"/>
  <c r="E324" i="2"/>
  <c r="D325" i="2" l="1"/>
  <c r="J325" i="2"/>
  <c r="G325" i="2"/>
  <c r="L325" i="2" l="1"/>
  <c r="M325" i="2" s="1"/>
  <c r="K325" i="2"/>
  <c r="E325" i="2"/>
  <c r="B326" i="2"/>
  <c r="H325" i="2"/>
  <c r="G326" i="2" l="1"/>
  <c r="D326" i="2"/>
  <c r="J326" i="2"/>
  <c r="L326" i="2" l="1"/>
  <c r="M326" i="2" s="1"/>
  <c r="K326" i="2"/>
  <c r="H326" i="2"/>
  <c r="B327" i="2"/>
  <c r="E326" i="2"/>
  <c r="D327" i="2" l="1"/>
  <c r="J327" i="2"/>
  <c r="G327" i="2"/>
  <c r="L327" i="2" l="1"/>
  <c r="M327" i="2" s="1"/>
  <c r="K327" i="2"/>
  <c r="E327" i="2"/>
  <c r="B328" i="2"/>
  <c r="H327" i="2"/>
  <c r="G328" i="2" l="1"/>
  <c r="D328" i="2"/>
  <c r="J328" i="2"/>
  <c r="L328" i="2" l="1"/>
  <c r="M328" i="2" s="1"/>
  <c r="K328" i="2"/>
  <c r="H328" i="2"/>
  <c r="B329" i="2"/>
  <c r="E328" i="2"/>
  <c r="D329" i="2" l="1"/>
  <c r="J329" i="2"/>
  <c r="G329" i="2"/>
  <c r="K329" i="2" l="1"/>
  <c r="L329" i="2"/>
  <c r="M329" i="2" s="1"/>
  <c r="E329" i="2"/>
  <c r="B330" i="2"/>
  <c r="H329" i="2"/>
  <c r="J330" i="2" l="1"/>
  <c r="G330" i="2"/>
  <c r="D330" i="2"/>
  <c r="L330" i="2" l="1"/>
  <c r="M330" i="2" s="1"/>
  <c r="K330" i="2"/>
  <c r="E330" i="2"/>
  <c r="B331" i="2"/>
  <c r="H330" i="2"/>
  <c r="D331" i="2" l="1"/>
  <c r="J331" i="2"/>
  <c r="G331" i="2"/>
  <c r="L331" i="2" l="1"/>
  <c r="M331" i="2" s="1"/>
  <c r="K331" i="2"/>
  <c r="E331" i="2"/>
  <c r="H331" i="2"/>
  <c r="B332" i="2"/>
  <c r="J332" i="2" l="1"/>
  <c r="G332" i="2"/>
  <c r="D332" i="2"/>
  <c r="L332" i="2" l="1"/>
  <c r="M332" i="2" s="1"/>
  <c r="K332" i="2"/>
  <c r="B333" i="2"/>
  <c r="H332" i="2"/>
  <c r="E332" i="2"/>
  <c r="D333" i="2" l="1"/>
  <c r="J333" i="2"/>
  <c r="G333" i="2"/>
  <c r="L333" i="2" l="1"/>
  <c r="M333" i="2" s="1"/>
  <c r="K333" i="2"/>
  <c r="B334" i="2"/>
  <c r="H333" i="2"/>
  <c r="E333" i="2"/>
  <c r="J334" i="2" l="1"/>
  <c r="G334" i="2"/>
  <c r="D334" i="2"/>
  <c r="L334" i="2" l="1"/>
  <c r="M334" i="2" s="1"/>
  <c r="K334" i="2"/>
  <c r="H334" i="2"/>
  <c r="B335" i="2"/>
  <c r="E334" i="2"/>
  <c r="D335" i="2" l="1"/>
  <c r="J335" i="2"/>
  <c r="G335" i="2"/>
  <c r="L335" i="2" l="1"/>
  <c r="M335" i="2" s="1"/>
  <c r="K335" i="2"/>
  <c r="B336" i="2"/>
  <c r="H335" i="2"/>
  <c r="E335" i="2"/>
  <c r="J336" i="2" l="1"/>
  <c r="G336" i="2"/>
  <c r="D336" i="2"/>
  <c r="L336" i="2" l="1"/>
  <c r="M336" i="2" s="1"/>
  <c r="K336" i="2"/>
  <c r="H336" i="2"/>
  <c r="B337" i="2"/>
  <c r="E336" i="2"/>
  <c r="D337" i="2" l="1"/>
  <c r="J337" i="2"/>
  <c r="G337" i="2"/>
  <c r="L337" i="2" l="1"/>
  <c r="M337" i="2" s="1"/>
  <c r="K337" i="2"/>
  <c r="B338" i="2"/>
  <c r="E337" i="2"/>
  <c r="H337" i="2"/>
  <c r="J338" i="2" l="1"/>
  <c r="G338" i="2"/>
  <c r="D338" i="2"/>
  <c r="L338" i="2" l="1"/>
  <c r="M338" i="2" s="1"/>
  <c r="K338" i="2"/>
  <c r="H338" i="2"/>
  <c r="B339" i="2"/>
  <c r="E338" i="2"/>
  <c r="D339" i="2" l="1"/>
  <c r="J339" i="2"/>
  <c r="G339" i="2"/>
  <c r="L339" i="2" l="1"/>
  <c r="M339" i="2" s="1"/>
  <c r="K339" i="2"/>
  <c r="B340" i="2"/>
  <c r="E339" i="2"/>
  <c r="H339" i="2"/>
  <c r="J340" i="2" l="1"/>
  <c r="G340" i="2"/>
  <c r="D340" i="2"/>
  <c r="L340" i="2" l="1"/>
  <c r="M340" i="2" s="1"/>
  <c r="K340" i="2"/>
  <c r="H340" i="2"/>
  <c r="B341" i="2"/>
  <c r="E340" i="2"/>
  <c r="D341" i="2" l="1"/>
  <c r="J341" i="2"/>
  <c r="G341" i="2"/>
  <c r="L341" i="2" l="1"/>
  <c r="M341" i="2" s="1"/>
  <c r="K341" i="2"/>
  <c r="B342" i="2"/>
  <c r="E341" i="2"/>
  <c r="H341" i="2"/>
  <c r="J342" i="2" l="1"/>
  <c r="G342" i="2"/>
  <c r="D342" i="2"/>
  <c r="L342" i="2" l="1"/>
  <c r="M342" i="2" s="1"/>
  <c r="K342" i="2"/>
  <c r="E342" i="2"/>
  <c r="H342" i="2"/>
  <c r="B343" i="2"/>
  <c r="D343" i="2" l="1"/>
  <c r="J343" i="2"/>
  <c r="G343" i="2"/>
  <c r="L343" i="2" l="1"/>
  <c r="M343" i="2" s="1"/>
  <c r="K343" i="2"/>
  <c r="E343" i="2"/>
  <c r="H343" i="2"/>
  <c r="B344" i="2"/>
  <c r="J344" i="2" l="1"/>
  <c r="G344" i="2"/>
  <c r="D344" i="2"/>
  <c r="L344" i="2" l="1"/>
  <c r="M344" i="2" s="1"/>
  <c r="K344" i="2"/>
  <c r="E344" i="2"/>
  <c r="B345" i="2"/>
  <c r="H344" i="2"/>
  <c r="D345" i="2" l="1"/>
  <c r="J345" i="2"/>
  <c r="G345" i="2"/>
  <c r="L345" i="2" l="1"/>
  <c r="M345" i="2" s="1"/>
  <c r="K345" i="2"/>
  <c r="E345" i="2"/>
  <c r="H345" i="2"/>
  <c r="B346" i="2"/>
  <c r="J346" i="2" l="1"/>
  <c r="G346" i="2"/>
  <c r="D346" i="2"/>
  <c r="L346" i="2" l="1"/>
  <c r="M346" i="2" s="1"/>
  <c r="K346" i="2"/>
  <c r="E346" i="2"/>
  <c r="B347" i="2"/>
  <c r="H346" i="2"/>
  <c r="D347" i="2" l="1"/>
  <c r="J347" i="2"/>
  <c r="G347" i="2"/>
  <c r="L347" i="2" l="1"/>
  <c r="M347" i="2" s="1"/>
  <c r="K347" i="2"/>
  <c r="E347" i="2"/>
  <c r="H347" i="2"/>
  <c r="B348" i="2"/>
  <c r="J348" i="2" l="1"/>
  <c r="G348" i="2"/>
  <c r="D348" i="2"/>
  <c r="L348" i="2" l="1"/>
  <c r="M348" i="2" s="1"/>
  <c r="K348" i="2"/>
  <c r="B349" i="2"/>
  <c r="H348" i="2"/>
  <c r="E348" i="2"/>
  <c r="D349" i="2" l="1"/>
  <c r="J349" i="2"/>
  <c r="G349" i="2"/>
  <c r="L349" i="2" l="1"/>
  <c r="M349" i="2" s="1"/>
  <c r="K349" i="2"/>
  <c r="B350" i="2"/>
  <c r="H349" i="2"/>
  <c r="E349" i="2"/>
  <c r="J350" i="2" l="1"/>
  <c r="G350" i="2"/>
  <c r="D350" i="2"/>
  <c r="L350" i="2" l="1"/>
  <c r="M350" i="2" s="1"/>
  <c r="K350" i="2"/>
  <c r="H350" i="2"/>
  <c r="E350" i="2"/>
  <c r="B351" i="2"/>
  <c r="D351" i="2" l="1"/>
  <c r="J351" i="2"/>
  <c r="G351" i="2"/>
  <c r="L351" i="2" l="1"/>
  <c r="M351" i="2" s="1"/>
  <c r="K351" i="2"/>
  <c r="H351" i="2"/>
  <c r="E351" i="2"/>
  <c r="B352" i="2"/>
  <c r="J352" i="2" l="1"/>
  <c r="G352" i="2"/>
  <c r="D352" i="2"/>
  <c r="L352" i="2" l="1"/>
  <c r="M352" i="2" s="1"/>
  <c r="K352" i="2"/>
  <c r="H352" i="2"/>
  <c r="B353" i="2"/>
  <c r="E352" i="2"/>
  <c r="D353" i="2" l="1"/>
  <c r="J353" i="2"/>
  <c r="G353" i="2"/>
  <c r="L353" i="2" l="1"/>
  <c r="M353" i="2" s="1"/>
  <c r="K353" i="2"/>
  <c r="B354" i="2"/>
  <c r="E353" i="2"/>
  <c r="H353" i="2"/>
  <c r="J354" i="2" l="1"/>
  <c r="G354" i="2"/>
  <c r="D354" i="2"/>
  <c r="L354" i="2" l="1"/>
  <c r="M354" i="2" s="1"/>
  <c r="K354" i="2"/>
  <c r="H354" i="2"/>
  <c r="B355" i="2"/>
  <c r="E354" i="2"/>
  <c r="D355" i="2" l="1"/>
  <c r="J355" i="2"/>
  <c r="G355" i="2"/>
  <c r="L355" i="2" l="1"/>
  <c r="M355" i="2" s="1"/>
  <c r="K355" i="2"/>
  <c r="B356" i="2"/>
  <c r="E355" i="2"/>
  <c r="H355" i="2"/>
  <c r="J356" i="2" l="1"/>
  <c r="G356" i="2"/>
  <c r="D356" i="2"/>
  <c r="L356" i="2" l="1"/>
  <c r="M356" i="2" s="1"/>
  <c r="K356" i="2"/>
  <c r="H356" i="2"/>
  <c r="B357" i="2"/>
  <c r="E356" i="2"/>
  <c r="D357" i="2" l="1"/>
  <c r="J357" i="2"/>
  <c r="G357" i="2"/>
  <c r="L357" i="2" l="1"/>
  <c r="M357" i="2" s="1"/>
  <c r="K357" i="2"/>
  <c r="B358" i="2"/>
  <c r="E357" i="2"/>
  <c r="H357" i="2"/>
  <c r="J358" i="2" l="1"/>
  <c r="G358" i="2"/>
  <c r="D358" i="2"/>
  <c r="L358" i="2" l="1"/>
  <c r="M358" i="2" s="1"/>
  <c r="K358" i="2"/>
  <c r="H358" i="2"/>
  <c r="B359" i="2"/>
  <c r="E358" i="2"/>
  <c r="J359" i="2" l="1"/>
  <c r="G359" i="2"/>
  <c r="D359" i="2"/>
  <c r="L359" i="2" l="1"/>
  <c r="M359" i="2" s="1"/>
  <c r="K359" i="2"/>
  <c r="H359" i="2"/>
  <c r="E359" i="2"/>
  <c r="B360" i="2"/>
  <c r="J360" i="2" l="1"/>
  <c r="G360" i="2"/>
  <c r="D360" i="2"/>
  <c r="L360" i="2" l="1"/>
  <c r="M360" i="2" s="1"/>
  <c r="K360" i="2"/>
  <c r="B361" i="2"/>
  <c r="H360" i="2"/>
  <c r="E360" i="2"/>
  <c r="J361" i="2" l="1"/>
  <c r="G361" i="2"/>
  <c r="D361" i="2"/>
  <c r="K361" i="2" l="1"/>
  <c r="L361" i="2"/>
  <c r="M361" i="2" s="1"/>
  <c r="E361" i="2"/>
  <c r="B362" i="2"/>
  <c r="H361" i="2"/>
  <c r="J362" i="2" l="1"/>
  <c r="G362" i="2"/>
  <c r="D362" i="2"/>
  <c r="L362" i="2" l="1"/>
  <c r="M362" i="2" s="1"/>
  <c r="K362" i="2"/>
  <c r="H362" i="2"/>
  <c r="E362" i="2"/>
  <c r="B363" i="2"/>
  <c r="J363" i="2" l="1"/>
  <c r="G363" i="2"/>
  <c r="D363" i="2"/>
  <c r="L363" i="2" l="1"/>
  <c r="M363" i="2" s="1"/>
  <c r="K363" i="2"/>
  <c r="E363" i="2"/>
  <c r="B364" i="2"/>
  <c r="H363" i="2"/>
  <c r="J364" i="2" l="1"/>
  <c r="G364" i="2"/>
  <c r="D364" i="2"/>
  <c r="L364" i="2" l="1"/>
  <c r="M364" i="2" s="1"/>
  <c r="K364" i="2"/>
  <c r="H364" i="2"/>
  <c r="E364" i="2"/>
  <c r="B365" i="2"/>
  <c r="J365" i="2" l="1"/>
  <c r="D365" i="2"/>
  <c r="G365" i="2"/>
  <c r="L365" i="2" l="1"/>
  <c r="M365" i="2" s="1"/>
  <c r="K365" i="2"/>
  <c r="B366" i="2"/>
  <c r="E365" i="2"/>
  <c r="H365" i="2"/>
  <c r="J366" i="2" l="1"/>
  <c r="G366" i="2"/>
  <c r="D366" i="2"/>
  <c r="L366" i="2" l="1"/>
  <c r="M366" i="2" s="1"/>
  <c r="K366" i="2"/>
  <c r="E366" i="2"/>
  <c r="B367" i="2"/>
  <c r="H366" i="2"/>
  <c r="J367" i="2" l="1"/>
  <c r="G367" i="2"/>
  <c r="D367" i="2"/>
  <c r="L367" i="2" l="1"/>
  <c r="M367" i="2" s="1"/>
  <c r="K367" i="2"/>
  <c r="H367" i="2"/>
  <c r="B368" i="2"/>
  <c r="E367" i="2"/>
  <c r="J368" i="2" l="1"/>
  <c r="G368" i="2"/>
  <c r="D368" i="2"/>
  <c r="L368" i="2" l="1"/>
  <c r="M368" i="2" s="1"/>
  <c r="K368" i="2"/>
  <c r="H368" i="2"/>
  <c r="B369" i="2"/>
  <c r="E368" i="2"/>
  <c r="J369" i="2" l="1"/>
  <c r="G369" i="2"/>
  <c r="D369" i="2"/>
  <c r="K369" i="2" l="1"/>
  <c r="L369" i="2"/>
  <c r="M369" i="2" s="1"/>
  <c r="B370" i="2"/>
  <c r="H369" i="2"/>
  <c r="E369" i="2"/>
  <c r="J370" i="2" l="1"/>
  <c r="G370" i="2"/>
  <c r="D370" i="2"/>
  <c r="L370" i="2" l="1"/>
  <c r="M370" i="2" s="1"/>
  <c r="K370" i="2"/>
  <c r="E370" i="2"/>
  <c r="B371" i="2"/>
  <c r="H370" i="2"/>
  <c r="J371" i="2" l="1"/>
  <c r="G371" i="2"/>
  <c r="D371" i="2"/>
  <c r="L371" i="2" l="1"/>
  <c r="M371" i="2" s="1"/>
  <c r="K371" i="2"/>
  <c r="B372" i="2"/>
  <c r="H371" i="2"/>
  <c r="E371" i="2"/>
  <c r="J372" i="2" l="1"/>
  <c r="G372" i="2"/>
  <c r="D372" i="2"/>
  <c r="L372" i="2" l="1"/>
  <c r="M372" i="2" s="1"/>
  <c r="K372" i="2"/>
  <c r="E372" i="2"/>
  <c r="B373" i="2"/>
  <c r="H372" i="2"/>
  <c r="J373" i="2" l="1"/>
  <c r="D373" i="2"/>
  <c r="G373" i="2"/>
  <c r="L373" i="2" l="1"/>
  <c r="M373" i="2" s="1"/>
  <c r="K373" i="2"/>
  <c r="B374" i="2"/>
  <c r="E373" i="2"/>
  <c r="H373" i="2"/>
  <c r="J374" i="2" l="1"/>
  <c r="G374" i="2"/>
  <c r="D374" i="2"/>
  <c r="L374" i="2" l="1"/>
  <c r="M374" i="2" s="1"/>
  <c r="K374" i="2"/>
  <c r="B375" i="2"/>
  <c r="H374" i="2"/>
  <c r="E374" i="2"/>
  <c r="J375" i="2" l="1"/>
  <c r="G375" i="2"/>
  <c r="D375" i="2"/>
  <c r="L375" i="2" l="1"/>
  <c r="M375" i="2" s="1"/>
  <c r="K375" i="2"/>
  <c r="E375" i="2"/>
  <c r="H375" i="2"/>
  <c r="B376" i="2"/>
  <c r="J376" i="2" l="1"/>
  <c r="G376" i="2"/>
  <c r="D376" i="2"/>
  <c r="L376" i="2" l="1"/>
  <c r="M376" i="2" s="1"/>
  <c r="K376" i="2"/>
  <c r="B377" i="2"/>
  <c r="E376" i="2"/>
  <c r="H376" i="2"/>
  <c r="J377" i="2" l="1"/>
  <c r="G377" i="2"/>
  <c r="D377" i="2"/>
  <c r="K377" i="2" l="1"/>
  <c r="L377" i="2"/>
  <c r="M377" i="2" s="1"/>
  <c r="E377" i="2"/>
  <c r="H377" i="2"/>
  <c r="B378" i="2"/>
  <c r="J378" i="2" l="1"/>
  <c r="G378" i="2"/>
  <c r="D378" i="2"/>
  <c r="L378" i="2" l="1"/>
  <c r="M378" i="2" s="1"/>
  <c r="K378" i="2"/>
  <c r="E378" i="2"/>
  <c r="H378" i="2"/>
  <c r="B379" i="2"/>
  <c r="J379" i="2" l="1"/>
  <c r="G379" i="2"/>
  <c r="D379" i="2"/>
  <c r="L379" i="2" l="1"/>
  <c r="M379" i="2" s="1"/>
  <c r="K379" i="2"/>
  <c r="E379" i="2"/>
  <c r="H379" i="2"/>
  <c r="B380" i="2"/>
  <c r="J380" i="2" l="1"/>
  <c r="G380" i="2"/>
  <c r="D380" i="2"/>
  <c r="L380" i="2" l="1"/>
  <c r="M380" i="2" s="1"/>
  <c r="K380" i="2"/>
  <c r="E380" i="2"/>
  <c r="H380" i="2"/>
  <c r="B381" i="2"/>
  <c r="J381" i="2" l="1"/>
  <c r="D381" i="2"/>
  <c r="G381" i="2"/>
  <c r="L381" i="2" l="1"/>
  <c r="M381" i="2" s="1"/>
  <c r="K381" i="2"/>
  <c r="B382" i="2"/>
  <c r="E381" i="2"/>
  <c r="H381" i="2"/>
  <c r="J382" i="2" l="1"/>
  <c r="G382" i="2"/>
  <c r="D382" i="2"/>
  <c r="L382" i="2" l="1"/>
  <c r="M382" i="2" s="1"/>
  <c r="K382" i="2"/>
  <c r="H382" i="2"/>
  <c r="E382" i="2"/>
  <c r="B383" i="2"/>
  <c r="J383" i="2" l="1"/>
  <c r="G383" i="2"/>
  <c r="D383" i="2"/>
  <c r="L383" i="2" l="1"/>
  <c r="M383" i="2" s="1"/>
  <c r="K383" i="2"/>
  <c r="H383" i="2"/>
  <c r="B384" i="2"/>
  <c r="E383" i="2"/>
  <c r="J384" i="2" l="1"/>
  <c r="G384" i="2"/>
  <c r="D384" i="2"/>
  <c r="L384" i="2" l="1"/>
  <c r="M384" i="2" s="1"/>
  <c r="K384" i="2"/>
  <c r="B385" i="2"/>
  <c r="E384" i="2"/>
  <c r="H384" i="2"/>
  <c r="J385" i="2" l="1"/>
  <c r="G385" i="2"/>
  <c r="D385" i="2"/>
  <c r="K385" i="2" l="1"/>
  <c r="L385" i="2"/>
  <c r="M385" i="2" s="1"/>
  <c r="H385" i="2"/>
  <c r="B386" i="2"/>
  <c r="E385" i="2"/>
  <c r="J386" i="2" l="1"/>
  <c r="G386" i="2"/>
  <c r="D386" i="2"/>
  <c r="L386" i="2" l="1"/>
  <c r="M386" i="2" s="1"/>
  <c r="K386" i="2"/>
  <c r="E386" i="2"/>
  <c r="H386" i="2"/>
  <c r="B387" i="2"/>
  <c r="J387" i="2" l="1"/>
  <c r="G387" i="2"/>
  <c r="D387" i="2"/>
  <c r="L387" i="2" l="1"/>
  <c r="M387" i="2" s="1"/>
  <c r="K387" i="2"/>
  <c r="B388" i="2"/>
  <c r="E387" i="2"/>
  <c r="H387" i="2"/>
  <c r="J388" i="2" l="1"/>
  <c r="G388" i="2"/>
  <c r="D388" i="2"/>
  <c r="L388" i="2" l="1"/>
  <c r="M388" i="2" s="1"/>
  <c r="K388" i="2"/>
  <c r="E388" i="2"/>
  <c r="H388" i="2"/>
  <c r="B389" i="2"/>
  <c r="J389" i="2" l="1"/>
  <c r="D389" i="2"/>
  <c r="G389" i="2"/>
  <c r="L389" i="2" l="1"/>
  <c r="M389" i="2" s="1"/>
  <c r="K389" i="2"/>
  <c r="B390" i="2"/>
  <c r="H389" i="2"/>
  <c r="E389" i="2"/>
  <c r="J390" i="2" l="1"/>
  <c r="G390" i="2"/>
  <c r="D390" i="2"/>
  <c r="L390" i="2" l="1"/>
  <c r="M390" i="2" s="1"/>
  <c r="K390" i="2"/>
  <c r="H390" i="2"/>
  <c r="B391" i="2"/>
  <c r="E390" i="2"/>
  <c r="J391" i="2" l="1"/>
  <c r="G391" i="2"/>
  <c r="D391" i="2"/>
  <c r="L391" i="2" l="1"/>
  <c r="M391" i="2" s="1"/>
  <c r="K391" i="2"/>
  <c r="H391" i="2"/>
  <c r="E391" i="2"/>
  <c r="B392" i="2"/>
  <c r="J392" i="2" l="1"/>
  <c r="G392" i="2"/>
  <c r="D392" i="2"/>
  <c r="L392" i="2" l="1"/>
  <c r="M392" i="2" s="1"/>
  <c r="K392" i="2"/>
  <c r="B393" i="2"/>
  <c r="H392" i="2"/>
  <c r="E392" i="2"/>
  <c r="J393" i="2" l="1"/>
  <c r="G393" i="2"/>
  <c r="D393" i="2"/>
  <c r="K393" i="2" l="1"/>
  <c r="L393" i="2"/>
  <c r="M393" i="2" s="1"/>
  <c r="E393" i="2"/>
  <c r="B394" i="2"/>
  <c r="H393" i="2"/>
  <c r="J394" i="2" l="1"/>
  <c r="G394" i="2"/>
  <c r="D394" i="2"/>
  <c r="L394" i="2" l="1"/>
  <c r="M394" i="2" s="1"/>
  <c r="K394" i="2"/>
  <c r="H394" i="2"/>
  <c r="E394" i="2"/>
  <c r="B395" i="2"/>
  <c r="J395" i="2" l="1"/>
  <c r="G395" i="2"/>
  <c r="D395" i="2"/>
  <c r="L395" i="2" l="1"/>
  <c r="M395" i="2" s="1"/>
  <c r="K395" i="2"/>
  <c r="E395" i="2"/>
  <c r="B396" i="2"/>
  <c r="H395" i="2"/>
  <c r="J396" i="2" l="1"/>
  <c r="G396" i="2"/>
  <c r="D396" i="2"/>
  <c r="L396" i="2" l="1"/>
  <c r="M396" i="2" s="1"/>
  <c r="K396" i="2"/>
  <c r="H396" i="2"/>
  <c r="E396" i="2"/>
  <c r="B397" i="2"/>
  <c r="J397" i="2" l="1"/>
  <c r="D397" i="2"/>
  <c r="G397" i="2"/>
  <c r="L397" i="2" l="1"/>
  <c r="M397" i="2" s="1"/>
  <c r="K397" i="2"/>
  <c r="B398" i="2"/>
  <c r="E397" i="2"/>
  <c r="H397" i="2"/>
  <c r="J398" i="2" l="1"/>
  <c r="G398" i="2"/>
  <c r="D398" i="2"/>
  <c r="L398" i="2" l="1"/>
  <c r="M398" i="2" s="1"/>
  <c r="K398" i="2"/>
  <c r="H398" i="2"/>
  <c r="E398" i="2"/>
  <c r="B399" i="2"/>
  <c r="J399" i="2" l="1"/>
  <c r="G399" i="2"/>
  <c r="D399" i="2"/>
  <c r="L399" i="2" l="1"/>
  <c r="M399" i="2" s="1"/>
  <c r="K399" i="2"/>
  <c r="E399" i="2"/>
  <c r="H399" i="2"/>
  <c r="B400" i="2"/>
  <c r="J400" i="2" l="1"/>
  <c r="G400" i="2"/>
  <c r="D400" i="2"/>
  <c r="L400" i="2" l="1"/>
  <c r="M400" i="2" s="1"/>
  <c r="K400" i="2"/>
  <c r="H400" i="2"/>
  <c r="B401" i="2"/>
  <c r="E400" i="2"/>
  <c r="J401" i="2" l="1"/>
  <c r="G401" i="2"/>
  <c r="D401" i="2"/>
  <c r="K401" i="2" l="1"/>
  <c r="L401" i="2"/>
  <c r="M401" i="2" s="1"/>
  <c r="B402" i="2"/>
  <c r="H401" i="2"/>
  <c r="E401" i="2"/>
  <c r="J402" i="2" l="1"/>
  <c r="G402" i="2"/>
  <c r="D402" i="2"/>
  <c r="L402" i="2" l="1"/>
  <c r="M402" i="2" s="1"/>
  <c r="K402" i="2"/>
  <c r="E402" i="2"/>
  <c r="B403" i="2"/>
  <c r="H402" i="2"/>
  <c r="J403" i="2" l="1"/>
  <c r="G403" i="2"/>
  <c r="D403" i="2"/>
  <c r="L403" i="2" l="1"/>
  <c r="M403" i="2" s="1"/>
  <c r="K403" i="2"/>
  <c r="B404" i="2"/>
  <c r="H403" i="2"/>
  <c r="E403" i="2"/>
  <c r="J404" i="2" l="1"/>
  <c r="G404" i="2"/>
  <c r="D404" i="2"/>
  <c r="L404" i="2" l="1"/>
  <c r="M404" i="2" s="1"/>
  <c r="K404" i="2"/>
  <c r="E404" i="2"/>
  <c r="B405" i="2"/>
  <c r="H404" i="2"/>
  <c r="J405" i="2" l="1"/>
  <c r="D405" i="2"/>
  <c r="G405" i="2"/>
  <c r="L405" i="2" l="1"/>
  <c r="M405" i="2" s="1"/>
  <c r="K405" i="2"/>
  <c r="B406" i="2"/>
  <c r="H405" i="2"/>
  <c r="E405" i="2"/>
  <c r="J406" i="2" l="1"/>
  <c r="G406" i="2"/>
  <c r="D406" i="2"/>
  <c r="L406" i="2" l="1"/>
  <c r="M406" i="2" s="1"/>
  <c r="K406" i="2"/>
  <c r="H406" i="2"/>
  <c r="B407" i="2"/>
  <c r="E406" i="2"/>
  <c r="J407" i="2" l="1"/>
  <c r="G407" i="2"/>
  <c r="D407" i="2"/>
  <c r="L407" i="2" l="1"/>
  <c r="M407" i="2" s="1"/>
  <c r="K407" i="2"/>
  <c r="E407" i="2"/>
  <c r="H407" i="2"/>
  <c r="B408" i="2"/>
  <c r="J408" i="2" l="1"/>
  <c r="G408" i="2"/>
  <c r="D408" i="2"/>
  <c r="K408" i="2" l="1"/>
  <c r="L408" i="2"/>
  <c r="M408" i="2" s="1"/>
  <c r="B409" i="2"/>
  <c r="H408" i="2"/>
  <c r="E408" i="2"/>
  <c r="J409" i="2" l="1"/>
  <c r="G409" i="2"/>
  <c r="D409" i="2"/>
  <c r="K409" i="2" l="1"/>
  <c r="L409" i="2"/>
  <c r="M409" i="2" s="1"/>
  <c r="E409" i="2"/>
  <c r="H409" i="2"/>
  <c r="B410" i="2"/>
  <c r="J410" i="2" l="1"/>
  <c r="G410" i="2"/>
  <c r="D410" i="2"/>
  <c r="L410" i="2" l="1"/>
  <c r="M410" i="2" s="1"/>
  <c r="K410" i="2"/>
  <c r="E410" i="2"/>
  <c r="H410" i="2"/>
  <c r="B411" i="2"/>
  <c r="J411" i="2" l="1"/>
  <c r="G411" i="2"/>
  <c r="D411" i="2"/>
  <c r="L411" i="2" l="1"/>
  <c r="M411" i="2" s="1"/>
  <c r="K411" i="2"/>
  <c r="E411" i="2"/>
  <c r="H411" i="2"/>
  <c r="B412" i="2"/>
  <c r="J412" i="2" l="1"/>
  <c r="G412" i="2"/>
  <c r="D412" i="2"/>
  <c r="L412" i="2" l="1"/>
  <c r="M412" i="2" s="1"/>
  <c r="K412" i="2"/>
  <c r="E412" i="2"/>
  <c r="H412" i="2"/>
  <c r="B413" i="2"/>
  <c r="J413" i="2" l="1"/>
  <c r="D413" i="2"/>
  <c r="G413" i="2"/>
  <c r="L413" i="2" l="1"/>
  <c r="M413" i="2" s="1"/>
  <c r="K413" i="2"/>
  <c r="B414" i="2"/>
  <c r="E413" i="2"/>
  <c r="H413" i="2"/>
  <c r="J414" i="2" l="1"/>
  <c r="P8" i="2" s="1"/>
  <c r="G414" i="2"/>
  <c r="P7" i="2" s="1"/>
  <c r="D414" i="2"/>
  <c r="L414" i="2" l="1"/>
  <c r="M414" i="2" s="1"/>
  <c r="P5" i="2" s="1"/>
  <c r="K414" i="2"/>
  <c r="P9" i="2" s="1"/>
  <c r="P6" i="2"/>
  <c r="E414" i="2"/>
  <c r="H414" i="2"/>
</calcChain>
</file>

<file path=xl/sharedStrings.xml><?xml version="1.0" encoding="utf-8"?>
<sst xmlns="http://schemas.openxmlformats.org/spreadsheetml/2006/main" count="79" uniqueCount="55">
  <si>
    <t>Part 2: line y*(x) = c0 + c1 x, Newton-Raphson one parameter at a time</t>
  </si>
  <si>
    <t>Each step n: update c1 with c0 fixed, then update c0 with the new c1.  c1(n) = c1(n-1) - g_c1/H_c1c1,  c0(n) = c0(n-1) - g_c0/H_c0c0</t>
  </si>
  <si>
    <t>Data</t>
  </si>
  <si>
    <t>Sums</t>
  </si>
  <si>
    <t>Settings</t>
  </si>
  <si>
    <t>Results</t>
  </si>
  <si>
    <t>i</t>
  </si>
  <si>
    <t>x_i</t>
  </si>
  <si>
    <t>y_i</t>
  </si>
  <si>
    <t>N</t>
  </si>
  <si>
    <t>tol</t>
  </si>
  <si>
    <t>Steps to converge, n</t>
  </si>
  <si>
    <t>Σx</t>
  </si>
  <si>
    <t>c0(0)</t>
  </si>
  <si>
    <t>c0 (Newton)</t>
  </si>
  <si>
    <t>Σx²</t>
  </si>
  <si>
    <t>c1(0)</t>
  </si>
  <si>
    <t>c1 (Newton)</t>
  </si>
  <si>
    <t>Σx³</t>
  </si>
  <si>
    <t>MSE (Newton)</t>
  </si>
  <si>
    <t>Σx⁴</t>
  </si>
  <si>
    <t>c1 (analytical)</t>
  </si>
  <si>
    <t>Σy</t>
  </si>
  <si>
    <t>c0 (analytical)</t>
  </si>
  <si>
    <t>Σxy</t>
  </si>
  <si>
    <t>MSE (analytical)</t>
  </si>
  <si>
    <t>Σx²y</t>
  </si>
  <si>
    <t>n</t>
  </si>
  <si>
    <t>g_c1 = ∂MSE/∂c1</t>
  </si>
  <si>
    <t>H_c1c1</t>
  </si>
  <si>
    <t>c1(n)</t>
  </si>
  <si>
    <t>g_c0 = ∂MSE/∂c0</t>
  </si>
  <si>
    <t>H_c0c0</t>
  </si>
  <si>
    <t>c0(n)</t>
  </si>
  <si>
    <t>MSE(n)</t>
  </si>
  <si>
    <t>max |change|</t>
  </si>
  <si>
    <t>Stopped?</t>
  </si>
  <si>
    <t>no</t>
  </si>
  <si>
    <t>Part 2: parabola y = Bx² + Cx + D, Newton-Raphson one parameter at a time</t>
  </si>
  <si>
    <t>Each step n: update B (C, D fixed), then C (new B, old D), then D (new B, new C).  Each update is θ(n) = θ(n-1) - g_θ/H_θθ</t>
  </si>
  <si>
    <t>B(0)</t>
  </si>
  <si>
    <t>B (Newton)</t>
  </si>
  <si>
    <t>C(0)</t>
  </si>
  <si>
    <t>C (Newton)</t>
  </si>
  <si>
    <t>D(0)</t>
  </si>
  <si>
    <t>D (Newton)</t>
  </si>
  <si>
    <t>g_B</t>
  </si>
  <si>
    <t>H_BB</t>
  </si>
  <si>
    <t>B(n)</t>
  </si>
  <si>
    <t>g_C</t>
  </si>
  <si>
    <t>H_CC</t>
  </si>
  <si>
    <t>C(n)</t>
  </si>
  <si>
    <t>g_D</t>
  </si>
  <si>
    <t>H_DD</t>
  </si>
  <si>
    <t>D(n)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</si>
</sst>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Times New Roman"/>
      <charset val="1"/>
    </font>
    <font>
      <sz val="11"/>
      <name val="Times New Roman"/>
      <charset val="1"/>
    </font>
    <font>
      <i/>
      <sz val="10"/>
      <name val="Times New Roman"/>
      <charset val="1"/>
    </font>
    <font>
      <b/>
      <sz val="11"/>
      <name val="Times New Roman"/>
      <charset val="1"/>
    </font>
    <font>
      <sz val="11"/>
      <color rgb="FF0000FF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11" fontId="5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11" fontId="4" fillId="0" borderId="0" xfId="0" applyNumberFormat="1" applyFont="1"/>
    <xf numFmtId="11" fontId="2" fillId="0" borderId="0" xfId="0" applyNumberFormat="1" applyFont="1"/>
    <xf numFmtId="1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zoomScaleNormal="100" workbookViewId="0">
      <pane ySplit="14" topLeftCell="A15" activePane="bottomLeft" state="frozen"/>
      <selection pane="bottomLeft" activeCell="D10" sqref="D10"/>
    </sheetView>
  </sheetViews>
  <sheetFormatPr defaultColWidth="8.6328125" defaultRowHeight="14.5" x14ac:dyDescent="0.35"/>
  <cols>
    <col min="1" max="1" width="6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9" width="12" customWidth="1"/>
    <col min="10" max="10" width="10" customWidth="1"/>
    <col min="11" max="11" width="3" customWidth="1"/>
    <col min="12" max="12" width="22" customWidth="1"/>
    <col min="13" max="13" width="13" customWidth="1"/>
  </cols>
  <sheetData>
    <row r="1" spans="1:13" ht="16.5" x14ac:dyDescent="0.35">
      <c r="A1" s="1" t="s">
        <v>0</v>
      </c>
    </row>
    <row r="2" spans="1:13" x14ac:dyDescent="0.35">
      <c r="A2" s="2" t="s">
        <v>1</v>
      </c>
    </row>
    <row r="4" spans="1:13" x14ac:dyDescent="0.35">
      <c r="A4" s="4" t="s">
        <v>2</v>
      </c>
      <c r="E4" s="4" t="s">
        <v>3</v>
      </c>
      <c r="H4" s="4" t="s">
        <v>4</v>
      </c>
      <c r="L4" s="4" t="s">
        <v>5</v>
      </c>
    </row>
    <row r="5" spans="1:13" x14ac:dyDescent="0.35">
      <c r="A5" s="5" t="s">
        <v>6</v>
      </c>
      <c r="B5" s="5" t="s">
        <v>7</v>
      </c>
      <c r="C5" s="5" t="s">
        <v>8</v>
      </c>
      <c r="E5" s="2" t="s">
        <v>9</v>
      </c>
      <c r="F5" s="2">
        <f>COUNT(B6:B9)</f>
        <v>4</v>
      </c>
      <c r="H5" s="2" t="s">
        <v>10</v>
      </c>
      <c r="I5" s="6">
        <v>9.9999999999999995E-8</v>
      </c>
      <c r="J5" s="3"/>
      <c r="L5" s="4" t="s">
        <v>11</v>
      </c>
      <c r="M5" s="4">
        <f>INDEX(A15:A74,MATCH("yes",J15:J74,0))</f>
        <v>32</v>
      </c>
    </row>
    <row r="6" spans="1:13" x14ac:dyDescent="0.35">
      <c r="A6" s="7">
        <v>1</v>
      </c>
      <c r="B6" s="8">
        <v>0</v>
      </c>
      <c r="C6" s="8">
        <v>0.5</v>
      </c>
      <c r="E6" s="2" t="s">
        <v>12</v>
      </c>
      <c r="F6" s="2">
        <f>SUM(B6:B9)</f>
        <v>6</v>
      </c>
      <c r="H6" s="2" t="s">
        <v>13</v>
      </c>
      <c r="I6" s="9">
        <v>0</v>
      </c>
      <c r="J6" s="3"/>
      <c r="L6" s="4" t="s">
        <v>14</v>
      </c>
      <c r="M6" s="10">
        <f>G74</f>
        <v>-0.19999985522513875</v>
      </c>
    </row>
    <row r="7" spans="1:13" x14ac:dyDescent="0.35">
      <c r="A7" s="7">
        <v>2</v>
      </c>
      <c r="B7" s="8">
        <v>2</v>
      </c>
      <c r="C7" s="8">
        <v>3.5</v>
      </c>
      <c r="E7" s="2" t="s">
        <v>15</v>
      </c>
      <c r="F7" s="2">
        <f>SUMPRODUCT(B6:B9^2)</f>
        <v>14</v>
      </c>
      <c r="H7" s="2" t="s">
        <v>16</v>
      </c>
      <c r="I7" s="9">
        <v>0</v>
      </c>
      <c r="L7" s="4" t="s">
        <v>17</v>
      </c>
      <c r="M7" s="10">
        <f>D74</f>
        <v>2.299999903483426</v>
      </c>
    </row>
    <row r="8" spans="1:13" x14ac:dyDescent="0.35">
      <c r="A8" s="7">
        <v>3</v>
      </c>
      <c r="B8" s="8">
        <v>1</v>
      </c>
      <c r="C8" s="8">
        <v>1.5</v>
      </c>
      <c r="E8" s="2" t="s">
        <v>18</v>
      </c>
      <c r="F8" s="2">
        <f>SUMPRODUCT(B6:B9^3)</f>
        <v>36</v>
      </c>
      <c r="L8" s="4" t="s">
        <v>19</v>
      </c>
      <c r="M8" s="10">
        <f>H74</f>
        <v>0.57500000000001183</v>
      </c>
    </row>
    <row r="9" spans="1:13" x14ac:dyDescent="0.35">
      <c r="A9" s="7">
        <v>4</v>
      </c>
      <c r="B9" s="8">
        <v>3</v>
      </c>
      <c r="C9" s="8">
        <v>7.5</v>
      </c>
      <c r="E9" s="2" t="s">
        <v>20</v>
      </c>
      <c r="F9" s="2">
        <f>SUMPRODUCT(B6:B9^4)</f>
        <v>98</v>
      </c>
      <c r="L9" s="2" t="s">
        <v>21</v>
      </c>
      <c r="M9" s="11">
        <f>($F$5*$F$11-$F$6*$F$10)/($F$5*$F$7-$F$6^2)</f>
        <v>2.2999999999999998</v>
      </c>
    </row>
    <row r="10" spans="1:13" x14ac:dyDescent="0.35">
      <c r="A10" s="3"/>
      <c r="E10" s="2" t="s">
        <v>22</v>
      </c>
      <c r="F10" s="2">
        <f>SUM(C6:C9)</f>
        <v>13</v>
      </c>
      <c r="L10" s="2" t="s">
        <v>23</v>
      </c>
      <c r="M10" s="11">
        <f>($F$10-M9*$F$6)/$F$5</f>
        <v>-0.19999999999999973</v>
      </c>
    </row>
    <row r="11" spans="1:13" x14ac:dyDescent="0.35">
      <c r="E11" s="2" t="s">
        <v>24</v>
      </c>
      <c r="F11" s="2">
        <f>SUMPRODUCT(B6:B9,C6:C9)</f>
        <v>31</v>
      </c>
      <c r="L11" s="2" t="s">
        <v>25</v>
      </c>
      <c r="M11" s="11">
        <f>SUMPRODUCT((M10+M9*$B$6:$B$9-$C$6:$C$9)^2)/$F$5</f>
        <v>0.5750000000000004</v>
      </c>
    </row>
    <row r="12" spans="1:13" x14ac:dyDescent="0.35">
      <c r="E12" s="2" t="s">
        <v>26</v>
      </c>
      <c r="F12" s="2">
        <f>SUMPRODUCT(B6:B9^2,C6:C9)</f>
        <v>83</v>
      </c>
      <c r="L12" s="3"/>
    </row>
    <row r="14" spans="1:13" ht="31.5" customHeight="1" x14ac:dyDescent="0.35">
      <c r="A14" s="5" t="s">
        <v>27</v>
      </c>
      <c r="B14" s="5" t="s">
        <v>28</v>
      </c>
      <c r="C14" s="5" t="s">
        <v>29</v>
      </c>
      <c r="D14" s="5" t="s">
        <v>30</v>
      </c>
      <c r="E14" s="5" t="s">
        <v>31</v>
      </c>
      <c r="F14" s="5" t="s">
        <v>32</v>
      </c>
      <c r="G14" s="5" t="s">
        <v>33</v>
      </c>
      <c r="H14" s="5" t="s">
        <v>34</v>
      </c>
      <c r="I14" s="5" t="s">
        <v>35</v>
      </c>
      <c r="J14" s="5" t="s">
        <v>36</v>
      </c>
    </row>
    <row r="15" spans="1:13" x14ac:dyDescent="0.35">
      <c r="A15" s="7">
        <v>0</v>
      </c>
      <c r="B15" s="12"/>
      <c r="C15" s="12"/>
      <c r="D15" s="12">
        <f>$I$7</f>
        <v>0</v>
      </c>
      <c r="E15" s="12"/>
      <c r="F15" s="12"/>
      <c r="G15" s="12">
        <f>$I$6</f>
        <v>0</v>
      </c>
      <c r="H15" s="12">
        <f t="shared" ref="H15:H46" si="0">SUMPRODUCT((G15+D15*$B$6:$B$9-$C$6:$C$9)^2)/$F$5</f>
        <v>17.75</v>
      </c>
      <c r="I15" s="12"/>
      <c r="J15" s="7" t="s">
        <v>37</v>
      </c>
    </row>
    <row r="16" spans="1:13" x14ac:dyDescent="0.35">
      <c r="A16" s="7">
        <v>1</v>
      </c>
      <c r="B16" s="12">
        <f t="shared" ref="B16:B47" si="1">2/$F$5*($F$6*G15+$F$7*D15-$F$11)</f>
        <v>-15.5</v>
      </c>
      <c r="C16" s="12">
        <f t="shared" ref="C16:C47" si="2">2/$F$5*$F$7</f>
        <v>7</v>
      </c>
      <c r="D16" s="12">
        <f t="shared" ref="D16:D47" si="3">IF(J15="yes",D15,D15-B16/C16)</f>
        <v>2.2142857142857144</v>
      </c>
      <c r="E16" s="12">
        <f t="shared" ref="E16:E47" si="4">2/$F$5*($F$5*G15+$F$6*D16-$F$10)</f>
        <v>0.14285714285714324</v>
      </c>
      <c r="F16" s="12">
        <f>2</f>
        <v>2</v>
      </c>
      <c r="G16" s="12">
        <f t="shared" ref="G16:G47" si="5">IF(J15="yes",G15,G15-E16/F16)</f>
        <v>-7.1428571428571619E-2</v>
      </c>
      <c r="H16" s="12">
        <f t="shared" si="0"/>
        <v>0.58418367346938815</v>
      </c>
      <c r="I16" s="12">
        <f t="shared" ref="I16:I47" si="6">MAX(ABS(D16-D15),ABS(G16-G15))</f>
        <v>2.2142857142857144</v>
      </c>
      <c r="J16" s="7" t="str">
        <f t="shared" ref="J16:J47" si="7">IF(OR(J15="yes",I16&lt;$I$5),"yes","no")</f>
        <v>no</v>
      </c>
    </row>
    <row r="17" spans="1:10" x14ac:dyDescent="0.35">
      <c r="A17" s="7">
        <v>2</v>
      </c>
      <c r="B17" s="12">
        <f t="shared" si="1"/>
        <v>-0.2142857142857153</v>
      </c>
      <c r="C17" s="12">
        <f t="shared" si="2"/>
        <v>7</v>
      </c>
      <c r="D17" s="12">
        <f t="shared" si="3"/>
        <v>2.2448979591836737</v>
      </c>
      <c r="E17" s="12">
        <f t="shared" si="4"/>
        <v>9.1836734693877986E-2</v>
      </c>
      <c r="F17" s="12">
        <f>2</f>
        <v>2</v>
      </c>
      <c r="G17" s="12">
        <f t="shared" si="5"/>
        <v>-0.11734693877551061</v>
      </c>
      <c r="H17" s="12">
        <f t="shared" si="0"/>
        <v>0.57879529362765547</v>
      </c>
      <c r="I17" s="12">
        <f t="shared" si="6"/>
        <v>4.5918367346938993E-2</v>
      </c>
      <c r="J17" s="7" t="str">
        <f t="shared" si="7"/>
        <v>no</v>
      </c>
    </row>
    <row r="18" spans="1:10" x14ac:dyDescent="0.35">
      <c r="A18" s="7">
        <v>3</v>
      </c>
      <c r="B18" s="12">
        <f t="shared" si="1"/>
        <v>-0.13775510204081698</v>
      </c>
      <c r="C18" s="12">
        <f t="shared" si="2"/>
        <v>7</v>
      </c>
      <c r="D18" s="12">
        <f t="shared" si="3"/>
        <v>2.2645772594752192</v>
      </c>
      <c r="E18" s="12">
        <f t="shared" si="4"/>
        <v>5.9037900874636229E-2</v>
      </c>
      <c r="F18" s="12">
        <f>2</f>
        <v>2</v>
      </c>
      <c r="G18" s="12">
        <f t="shared" si="5"/>
        <v>-0.14686588921282873</v>
      </c>
      <c r="H18" s="12">
        <f t="shared" si="0"/>
        <v>0.57656846318285737</v>
      </c>
      <c r="I18" s="12">
        <f t="shared" si="6"/>
        <v>2.9518950437318114E-2</v>
      </c>
      <c r="J18" s="7" t="str">
        <f t="shared" si="7"/>
        <v>no</v>
      </c>
    </row>
    <row r="19" spans="1:10" x14ac:dyDescent="0.35">
      <c r="A19" s="7">
        <v>4</v>
      </c>
      <c r="B19" s="12">
        <f t="shared" si="1"/>
        <v>-8.8556851311953011E-2</v>
      </c>
      <c r="C19" s="12">
        <f t="shared" si="2"/>
        <v>7</v>
      </c>
      <c r="D19" s="12">
        <f t="shared" si="3"/>
        <v>2.2772282382340694</v>
      </c>
      <c r="E19" s="12">
        <f t="shared" si="4"/>
        <v>3.7952936276550275E-2</v>
      </c>
      <c r="F19" s="12">
        <f>2</f>
        <v>2</v>
      </c>
      <c r="G19" s="12">
        <f t="shared" si="5"/>
        <v>-0.16584235735110386</v>
      </c>
      <c r="H19" s="12">
        <f t="shared" si="0"/>
        <v>0.57564819141740553</v>
      </c>
      <c r="I19" s="12">
        <f t="shared" si="6"/>
        <v>1.8976468138275138E-2</v>
      </c>
      <c r="J19" s="7" t="str">
        <f t="shared" si="7"/>
        <v>no</v>
      </c>
    </row>
    <row r="20" spans="1:10" x14ac:dyDescent="0.35">
      <c r="A20" s="7">
        <v>5</v>
      </c>
      <c r="B20" s="12">
        <f t="shared" si="1"/>
        <v>-5.6929404414827189E-2</v>
      </c>
      <c r="C20" s="12">
        <f t="shared" si="2"/>
        <v>7</v>
      </c>
      <c r="D20" s="12">
        <f t="shared" si="3"/>
        <v>2.2853610102933306</v>
      </c>
      <c r="E20" s="12">
        <f t="shared" si="4"/>
        <v>2.4398316177784096E-2</v>
      </c>
      <c r="F20" s="12">
        <f>2</f>
        <v>2</v>
      </c>
      <c r="G20" s="12">
        <f t="shared" si="5"/>
        <v>-0.17804151543999591</v>
      </c>
      <c r="H20" s="12">
        <f t="shared" si="0"/>
        <v>0.57526787502453991</v>
      </c>
      <c r="I20" s="12">
        <f t="shared" si="6"/>
        <v>1.2199158088892048E-2</v>
      </c>
      <c r="J20" s="7" t="str">
        <f t="shared" si="7"/>
        <v>no</v>
      </c>
    </row>
    <row r="21" spans="1:10" x14ac:dyDescent="0.35">
      <c r="A21" s="7">
        <v>6</v>
      </c>
      <c r="B21" s="12">
        <f t="shared" si="1"/>
        <v>-3.6597474266674368E-2</v>
      </c>
      <c r="C21" s="12">
        <f t="shared" si="2"/>
        <v>7</v>
      </c>
      <c r="D21" s="12">
        <f t="shared" si="3"/>
        <v>2.2905892209028553</v>
      </c>
      <c r="E21" s="12">
        <f t="shared" si="4"/>
        <v>1.5684631828573714E-2</v>
      </c>
      <c r="F21" s="12">
        <f>2</f>
        <v>2</v>
      </c>
      <c r="G21" s="12">
        <f t="shared" si="5"/>
        <v>-0.18588383135428277</v>
      </c>
      <c r="H21" s="12">
        <f t="shared" si="0"/>
        <v>0.57511070345401927</v>
      </c>
      <c r="I21" s="12">
        <f t="shared" si="6"/>
        <v>7.842315914286857E-3</v>
      </c>
      <c r="J21" s="7" t="str">
        <f t="shared" si="7"/>
        <v>no</v>
      </c>
    </row>
    <row r="22" spans="1:10" x14ac:dyDescent="0.35">
      <c r="A22" s="7">
        <v>7</v>
      </c>
      <c r="B22" s="12">
        <f t="shared" si="1"/>
        <v>-2.3526947742862347E-2</v>
      </c>
      <c r="C22" s="12">
        <f t="shared" si="2"/>
        <v>7</v>
      </c>
      <c r="D22" s="12">
        <f t="shared" si="3"/>
        <v>2.29395021343755</v>
      </c>
      <c r="E22" s="12">
        <f t="shared" si="4"/>
        <v>1.0082977604084498E-2</v>
      </c>
      <c r="F22" s="12">
        <f>2</f>
        <v>2</v>
      </c>
      <c r="G22" s="12">
        <f t="shared" si="5"/>
        <v>-0.19092532015632502</v>
      </c>
      <c r="H22" s="12">
        <f t="shared" si="0"/>
        <v>0.57504574989681445</v>
      </c>
      <c r="I22" s="12">
        <f t="shared" si="6"/>
        <v>5.0414888020422488E-3</v>
      </c>
      <c r="J22" s="7" t="str">
        <f t="shared" si="7"/>
        <v>no</v>
      </c>
    </row>
    <row r="23" spans="1:10" x14ac:dyDescent="0.35">
      <c r="A23" s="7">
        <v>8</v>
      </c>
      <c r="B23" s="12">
        <f t="shared" si="1"/>
        <v>-1.5124466406126302E-2</v>
      </c>
      <c r="C23" s="12">
        <f t="shared" si="2"/>
        <v>7</v>
      </c>
      <c r="D23" s="12">
        <f t="shared" si="3"/>
        <v>2.2961108514955679</v>
      </c>
      <c r="E23" s="12">
        <f t="shared" si="4"/>
        <v>6.4819141740537489E-3</v>
      </c>
      <c r="F23" s="12">
        <f>2</f>
        <v>2</v>
      </c>
      <c r="G23" s="12">
        <f t="shared" si="5"/>
        <v>-0.19416627724335189</v>
      </c>
      <c r="H23" s="12">
        <f t="shared" si="0"/>
        <v>0.57501890684511192</v>
      </c>
      <c r="I23" s="12">
        <f t="shared" si="6"/>
        <v>3.2409570870268745E-3</v>
      </c>
      <c r="J23" s="7" t="str">
        <f t="shared" si="7"/>
        <v>no</v>
      </c>
    </row>
    <row r="24" spans="1:10" x14ac:dyDescent="0.35">
      <c r="A24" s="7">
        <v>9</v>
      </c>
      <c r="B24" s="12">
        <f t="shared" si="1"/>
        <v>-9.7228712610828438E-3</v>
      </c>
      <c r="C24" s="12">
        <f t="shared" si="2"/>
        <v>7</v>
      </c>
      <c r="D24" s="12">
        <f t="shared" si="3"/>
        <v>2.2974998331042942</v>
      </c>
      <c r="E24" s="12">
        <f t="shared" si="4"/>
        <v>4.1669448261787423E-3</v>
      </c>
      <c r="F24" s="12">
        <f>2</f>
        <v>2</v>
      </c>
      <c r="G24" s="12">
        <f t="shared" si="5"/>
        <v>-0.19624974965644126</v>
      </c>
      <c r="H24" s="12">
        <f t="shared" si="0"/>
        <v>0.57500781354313257</v>
      </c>
      <c r="I24" s="12">
        <f t="shared" si="6"/>
        <v>2.0834724130893711E-3</v>
      </c>
      <c r="J24" s="7" t="str">
        <f t="shared" si="7"/>
        <v>no</v>
      </c>
    </row>
    <row r="25" spans="1:10" x14ac:dyDescent="0.35">
      <c r="A25" s="7">
        <v>10</v>
      </c>
      <c r="B25" s="12">
        <f t="shared" si="1"/>
        <v>-6.2504172392632285E-3</v>
      </c>
      <c r="C25" s="12">
        <f t="shared" si="2"/>
        <v>7</v>
      </c>
      <c r="D25" s="12">
        <f t="shared" si="3"/>
        <v>2.2983927498527605</v>
      </c>
      <c r="E25" s="12">
        <f t="shared" si="4"/>
        <v>2.6787502453986534E-3</v>
      </c>
      <c r="F25" s="12">
        <f>2</f>
        <v>2</v>
      </c>
      <c r="G25" s="12">
        <f t="shared" si="5"/>
        <v>-0.19758912477914059</v>
      </c>
      <c r="H25" s="12">
        <f t="shared" si="0"/>
        <v>0.57500322906629497</v>
      </c>
      <c r="I25" s="12">
        <f t="shared" si="6"/>
        <v>1.3393751226993267E-3</v>
      </c>
      <c r="J25" s="7" t="str">
        <f t="shared" si="7"/>
        <v>no</v>
      </c>
    </row>
    <row r="26" spans="1:10" x14ac:dyDescent="0.35">
      <c r="A26" s="7">
        <v>11</v>
      </c>
      <c r="B26" s="12">
        <f t="shared" si="1"/>
        <v>-4.0181253680966478E-3</v>
      </c>
      <c r="C26" s="12">
        <f t="shared" si="2"/>
        <v>7</v>
      </c>
      <c r="D26" s="12">
        <f t="shared" si="3"/>
        <v>2.2989667677624888</v>
      </c>
      <c r="E26" s="12">
        <f t="shared" si="4"/>
        <v>1.7220537291855464E-3</v>
      </c>
      <c r="F26" s="12">
        <f>2</f>
        <v>2</v>
      </c>
      <c r="G26" s="12">
        <f t="shared" si="5"/>
        <v>-0.19845015164373336</v>
      </c>
      <c r="H26" s="12">
        <f t="shared" si="0"/>
        <v>0.5750013344610706</v>
      </c>
      <c r="I26" s="12">
        <f t="shared" si="6"/>
        <v>8.6102686459277322E-4</v>
      </c>
      <c r="J26" s="7" t="str">
        <f t="shared" si="7"/>
        <v>no</v>
      </c>
    </row>
    <row r="27" spans="1:10" x14ac:dyDescent="0.35">
      <c r="A27" s="7">
        <v>12</v>
      </c>
      <c r="B27" s="12">
        <f t="shared" si="1"/>
        <v>-2.583080593780096E-3</v>
      </c>
      <c r="C27" s="12">
        <f t="shared" si="2"/>
        <v>7</v>
      </c>
      <c r="D27" s="12">
        <f t="shared" si="3"/>
        <v>2.2993357792758857</v>
      </c>
      <c r="E27" s="12">
        <f t="shared" si="4"/>
        <v>1.1070345401904547E-3</v>
      </c>
      <c r="F27" s="12">
        <f>2</f>
        <v>2</v>
      </c>
      <c r="G27" s="12">
        <f t="shared" si="5"/>
        <v>-0.19900366891382859</v>
      </c>
      <c r="H27" s="12">
        <f t="shared" si="0"/>
        <v>0.5750005514864629</v>
      </c>
      <c r="I27" s="12">
        <f t="shared" si="6"/>
        <v>5.5351727009522733E-4</v>
      </c>
      <c r="J27" s="7" t="str">
        <f t="shared" si="7"/>
        <v>no</v>
      </c>
    </row>
    <row r="28" spans="1:10" x14ac:dyDescent="0.35">
      <c r="A28" s="7">
        <v>13</v>
      </c>
      <c r="B28" s="12">
        <f t="shared" si="1"/>
        <v>-1.660551810285682E-3</v>
      </c>
      <c r="C28" s="12">
        <f t="shared" si="2"/>
        <v>7</v>
      </c>
      <c r="D28" s="12">
        <f t="shared" si="3"/>
        <v>2.2995730009630693</v>
      </c>
      <c r="E28" s="12">
        <f t="shared" si="4"/>
        <v>7.1166506155062592E-4</v>
      </c>
      <c r="F28" s="12">
        <f>2</f>
        <v>2</v>
      </c>
      <c r="G28" s="12">
        <f t="shared" si="5"/>
        <v>-0.1993595014446039</v>
      </c>
      <c r="H28" s="12">
        <f t="shared" si="0"/>
        <v>0.57500022791022154</v>
      </c>
      <c r="I28" s="12">
        <f t="shared" si="6"/>
        <v>3.5583253077531296E-4</v>
      </c>
      <c r="J28" s="7" t="str">
        <f t="shared" si="7"/>
        <v>no</v>
      </c>
    </row>
    <row r="29" spans="1:10" x14ac:dyDescent="0.35">
      <c r="A29" s="7">
        <v>14</v>
      </c>
      <c r="B29" s="12">
        <f t="shared" si="1"/>
        <v>-1.0674975923254948E-3</v>
      </c>
      <c r="C29" s="12">
        <f t="shared" si="2"/>
        <v>7</v>
      </c>
      <c r="D29" s="12">
        <f t="shared" si="3"/>
        <v>2.299725500619116</v>
      </c>
      <c r="E29" s="12">
        <f t="shared" si="4"/>
        <v>4.5749896813962465E-4</v>
      </c>
      <c r="F29" s="12">
        <f>2</f>
        <v>2</v>
      </c>
      <c r="G29" s="12">
        <f t="shared" si="5"/>
        <v>-0.19958825092867372</v>
      </c>
      <c r="H29" s="12">
        <f t="shared" si="0"/>
        <v>0.57500009418738784</v>
      </c>
      <c r="I29" s="12">
        <f t="shared" si="6"/>
        <v>2.2874948406981233E-4</v>
      </c>
      <c r="J29" s="7" t="str">
        <f t="shared" si="7"/>
        <v>no</v>
      </c>
    </row>
    <row r="30" spans="1:10" x14ac:dyDescent="0.35">
      <c r="A30" s="7">
        <v>15</v>
      </c>
      <c r="B30" s="12">
        <f t="shared" si="1"/>
        <v>-6.8624845220810471E-4</v>
      </c>
      <c r="C30" s="12">
        <f t="shared" si="2"/>
        <v>7</v>
      </c>
      <c r="D30" s="12">
        <f t="shared" si="3"/>
        <v>2.2998235361122887</v>
      </c>
      <c r="E30" s="12">
        <f t="shared" si="4"/>
        <v>2.9410647951877422E-4</v>
      </c>
      <c r="F30" s="12">
        <f>2</f>
        <v>2</v>
      </c>
      <c r="G30" s="12">
        <f t="shared" si="5"/>
        <v>-0.1997353041684331</v>
      </c>
      <c r="H30" s="12">
        <f t="shared" si="0"/>
        <v>0.57500003892437956</v>
      </c>
      <c r="I30" s="12">
        <f t="shared" si="6"/>
        <v>1.4705323975938711E-4</v>
      </c>
      <c r="J30" s="7" t="str">
        <f t="shared" si="7"/>
        <v>no</v>
      </c>
    </row>
    <row r="31" spans="1:10" x14ac:dyDescent="0.35">
      <c r="A31" s="7">
        <v>16</v>
      </c>
      <c r="B31" s="12">
        <f t="shared" si="1"/>
        <v>-4.4115971927816133E-4</v>
      </c>
      <c r="C31" s="12">
        <f t="shared" si="2"/>
        <v>7</v>
      </c>
      <c r="D31" s="12">
        <f t="shared" si="3"/>
        <v>2.2998865589293285</v>
      </c>
      <c r="E31" s="12">
        <f t="shared" si="4"/>
        <v>1.89068451119212E-4</v>
      </c>
      <c r="F31" s="12">
        <f>2</f>
        <v>2</v>
      </c>
      <c r="G31" s="12">
        <f t="shared" si="5"/>
        <v>-0.19982983839399271</v>
      </c>
      <c r="H31" s="12">
        <f t="shared" si="0"/>
        <v>0.57500001608609563</v>
      </c>
      <c r="I31" s="12">
        <f t="shared" si="6"/>
        <v>9.4534225559606E-5</v>
      </c>
      <c r="J31" s="7" t="str">
        <f t="shared" si="7"/>
        <v>no</v>
      </c>
    </row>
    <row r="32" spans="1:10" x14ac:dyDescent="0.35">
      <c r="A32" s="7">
        <v>17</v>
      </c>
      <c r="B32" s="12">
        <f t="shared" si="1"/>
        <v>-2.8360267668148254E-4</v>
      </c>
      <c r="C32" s="12">
        <f t="shared" si="2"/>
        <v>7</v>
      </c>
      <c r="D32" s="12">
        <f t="shared" si="3"/>
        <v>2.2999270735974258</v>
      </c>
      <c r="E32" s="12">
        <f t="shared" si="4"/>
        <v>1.2154400429231771E-4</v>
      </c>
      <c r="F32" s="12">
        <f>2</f>
        <v>2</v>
      </c>
      <c r="G32" s="12">
        <f t="shared" si="5"/>
        <v>-0.19989061039613887</v>
      </c>
      <c r="H32" s="12">
        <f t="shared" si="0"/>
        <v>0.57500000664782502</v>
      </c>
      <c r="I32" s="12">
        <f t="shared" si="6"/>
        <v>6.0772002146158854E-5</v>
      </c>
      <c r="J32" s="7" t="str">
        <f t="shared" si="7"/>
        <v>no</v>
      </c>
    </row>
    <row r="33" spans="1:10" x14ac:dyDescent="0.35">
      <c r="A33" s="7">
        <v>18</v>
      </c>
      <c r="B33" s="12">
        <f t="shared" si="1"/>
        <v>-1.8231600643758838E-4</v>
      </c>
      <c r="C33" s="12">
        <f t="shared" si="2"/>
        <v>7</v>
      </c>
      <c r="D33" s="12">
        <f t="shared" si="3"/>
        <v>2.2999531187412026</v>
      </c>
      <c r="E33" s="12">
        <f t="shared" si="4"/>
        <v>7.8135431330395022E-5</v>
      </c>
      <c r="F33" s="12">
        <f>2</f>
        <v>2</v>
      </c>
      <c r="G33" s="12">
        <f t="shared" si="5"/>
        <v>-0.19992967811180407</v>
      </c>
      <c r="H33" s="12">
        <f t="shared" si="0"/>
        <v>0.57500000274731533</v>
      </c>
      <c r="I33" s="12">
        <f t="shared" si="6"/>
        <v>3.9067715665197511E-5</v>
      </c>
      <c r="J33" s="7" t="str">
        <f t="shared" si="7"/>
        <v>no</v>
      </c>
    </row>
    <row r="34" spans="1:10" x14ac:dyDescent="0.35">
      <c r="A34" s="7">
        <v>19</v>
      </c>
      <c r="B34" s="12">
        <f t="shared" si="1"/>
        <v>-1.1720314699559253E-4</v>
      </c>
      <c r="C34" s="12">
        <f t="shared" si="2"/>
        <v>7</v>
      </c>
      <c r="D34" s="12">
        <f t="shared" si="3"/>
        <v>2.2999698620479161</v>
      </c>
      <c r="E34" s="12">
        <f t="shared" si="4"/>
        <v>5.0229920139699402E-5</v>
      </c>
      <c r="F34" s="12">
        <f>2</f>
        <v>2</v>
      </c>
      <c r="G34" s="12">
        <f t="shared" si="5"/>
        <v>-0.19995479307187392</v>
      </c>
      <c r="H34" s="12">
        <f t="shared" si="0"/>
        <v>0.57500000113537031</v>
      </c>
      <c r="I34" s="12">
        <f t="shared" si="6"/>
        <v>2.5114960069849701E-5</v>
      </c>
      <c r="J34" s="7" t="str">
        <f t="shared" si="7"/>
        <v>no</v>
      </c>
    </row>
    <row r="35" spans="1:10" x14ac:dyDescent="0.35">
      <c r="A35" s="7">
        <v>20</v>
      </c>
      <c r="B35" s="12">
        <f t="shared" si="1"/>
        <v>-7.5344880208660925E-5</v>
      </c>
      <c r="C35" s="12">
        <f t="shared" si="2"/>
        <v>7</v>
      </c>
      <c r="D35" s="12">
        <f t="shared" si="3"/>
        <v>2.2999806256022315</v>
      </c>
      <c r="E35" s="12">
        <f t="shared" si="4"/>
        <v>3.2290662947076498E-5</v>
      </c>
      <c r="F35" s="12">
        <f>2</f>
        <v>2</v>
      </c>
      <c r="G35" s="12">
        <f t="shared" si="5"/>
        <v>-0.19997093840334745</v>
      </c>
      <c r="H35" s="12">
        <f t="shared" si="0"/>
        <v>0.57500000046920896</v>
      </c>
      <c r="I35" s="12">
        <f t="shared" si="6"/>
        <v>1.6145331473538249E-5</v>
      </c>
      <c r="J35" s="7" t="str">
        <f t="shared" si="7"/>
        <v>no</v>
      </c>
    </row>
    <row r="36" spans="1:10" x14ac:dyDescent="0.35">
      <c r="A36" s="7">
        <v>21</v>
      </c>
      <c r="B36" s="12">
        <f t="shared" si="1"/>
        <v>-4.8435994422391104E-5</v>
      </c>
      <c r="C36" s="12">
        <f t="shared" si="2"/>
        <v>7</v>
      </c>
      <c r="D36" s="12">
        <f t="shared" si="3"/>
        <v>2.2999875450300062</v>
      </c>
      <c r="E36" s="12">
        <f t="shared" si="4"/>
        <v>2.0758283323374371E-5</v>
      </c>
      <c r="F36" s="12">
        <f>2</f>
        <v>2</v>
      </c>
      <c r="G36" s="12">
        <f t="shared" si="5"/>
        <v>-0.19998131754500914</v>
      </c>
      <c r="H36" s="12">
        <f t="shared" si="0"/>
        <v>0.57500000019390796</v>
      </c>
      <c r="I36" s="12">
        <f t="shared" si="6"/>
        <v>1.0379141661687186E-5</v>
      </c>
      <c r="J36" s="7" t="str">
        <f t="shared" si="7"/>
        <v>no</v>
      </c>
    </row>
    <row r="37" spans="1:10" x14ac:dyDescent="0.35">
      <c r="A37" s="7">
        <v>22</v>
      </c>
      <c r="B37" s="12">
        <f t="shared" si="1"/>
        <v>-3.11374249832852E-5</v>
      </c>
      <c r="C37" s="12">
        <f t="shared" si="2"/>
        <v>7</v>
      </c>
      <c r="D37" s="12">
        <f t="shared" si="3"/>
        <v>2.2999919932335753</v>
      </c>
      <c r="E37" s="12">
        <f t="shared" si="4"/>
        <v>1.3344610707122229E-5</v>
      </c>
      <c r="F37" s="12">
        <f>2</f>
        <v>2</v>
      </c>
      <c r="G37" s="12">
        <f t="shared" si="5"/>
        <v>-0.1999879898503627</v>
      </c>
      <c r="H37" s="12">
        <f t="shared" si="0"/>
        <v>0.57500000008013563</v>
      </c>
      <c r="I37" s="12">
        <f t="shared" si="6"/>
        <v>6.6723053535611143E-6</v>
      </c>
      <c r="J37" s="7" t="str">
        <f t="shared" si="7"/>
        <v>no</v>
      </c>
    </row>
    <row r="38" spans="1:10" x14ac:dyDescent="0.35">
      <c r="A38" s="7">
        <v>23</v>
      </c>
      <c r="B38" s="12">
        <f t="shared" si="1"/>
        <v>-2.0016916060683343E-5</v>
      </c>
      <c r="C38" s="12">
        <f t="shared" si="2"/>
        <v>7</v>
      </c>
      <c r="D38" s="12">
        <f t="shared" si="3"/>
        <v>2.2999948527930125</v>
      </c>
      <c r="E38" s="12">
        <f t="shared" si="4"/>
        <v>8.5786783117214327E-6</v>
      </c>
      <c r="F38" s="12">
        <f>2</f>
        <v>2</v>
      </c>
      <c r="G38" s="12">
        <f t="shared" si="5"/>
        <v>-0.19999227918951856</v>
      </c>
      <c r="H38" s="12">
        <f t="shared" si="0"/>
        <v>0.57500000003311735</v>
      </c>
      <c r="I38" s="12">
        <f t="shared" si="6"/>
        <v>4.2893391558607163E-6</v>
      </c>
      <c r="J38" s="7" t="str">
        <f t="shared" si="7"/>
        <v>no</v>
      </c>
    </row>
    <row r="39" spans="1:10" x14ac:dyDescent="0.35">
      <c r="A39" s="7">
        <v>24</v>
      </c>
      <c r="B39" s="12">
        <f t="shared" si="1"/>
        <v>-1.2868017467582149E-5</v>
      </c>
      <c r="C39" s="12">
        <f t="shared" si="2"/>
        <v>7</v>
      </c>
      <c r="D39" s="12">
        <f t="shared" si="3"/>
        <v>2.2999966910812222</v>
      </c>
      <c r="E39" s="12">
        <f t="shared" si="4"/>
        <v>5.5148646289637782E-6</v>
      </c>
      <c r="F39" s="12">
        <f>2</f>
        <v>2</v>
      </c>
      <c r="G39" s="12">
        <f t="shared" si="5"/>
        <v>-0.19999503662183304</v>
      </c>
      <c r="H39" s="12">
        <f t="shared" si="0"/>
        <v>0.57500000001368634</v>
      </c>
      <c r="I39" s="12">
        <f t="shared" si="6"/>
        <v>2.7574323144818891E-6</v>
      </c>
      <c r="J39" s="7" t="str">
        <f t="shared" si="7"/>
        <v>no</v>
      </c>
    </row>
    <row r="40" spans="1:10" x14ac:dyDescent="0.35">
      <c r="A40" s="7">
        <v>25</v>
      </c>
      <c r="B40" s="12">
        <f t="shared" si="1"/>
        <v>-8.2722969452220241E-6</v>
      </c>
      <c r="C40" s="12">
        <f t="shared" si="2"/>
        <v>7</v>
      </c>
      <c r="D40" s="12">
        <f t="shared" si="3"/>
        <v>2.2999978728379284</v>
      </c>
      <c r="E40" s="12">
        <f t="shared" si="4"/>
        <v>3.5452701192539848E-6</v>
      </c>
      <c r="F40" s="12">
        <f>2</f>
        <v>2</v>
      </c>
      <c r="G40" s="12">
        <f t="shared" si="5"/>
        <v>-0.19999680925689267</v>
      </c>
      <c r="H40" s="12">
        <f t="shared" si="0"/>
        <v>0.57500000000565565</v>
      </c>
      <c r="I40" s="12">
        <f t="shared" si="6"/>
        <v>1.7726350596269924E-6</v>
      </c>
      <c r="J40" s="7" t="str">
        <f t="shared" si="7"/>
        <v>no</v>
      </c>
    </row>
    <row r="41" spans="1:10" x14ac:dyDescent="0.35">
      <c r="A41" s="7">
        <v>26</v>
      </c>
      <c r="B41" s="12">
        <f t="shared" si="1"/>
        <v>-5.3179051775487096E-6</v>
      </c>
      <c r="C41" s="12">
        <f t="shared" si="2"/>
        <v>7</v>
      </c>
      <c r="D41" s="12">
        <f t="shared" si="3"/>
        <v>2.2999986325386681</v>
      </c>
      <c r="E41" s="12">
        <f t="shared" si="4"/>
        <v>2.279102218949447E-6</v>
      </c>
      <c r="F41" s="12">
        <f>2</f>
        <v>2</v>
      </c>
      <c r="G41" s="12">
        <f t="shared" si="5"/>
        <v>-0.19999794880800215</v>
      </c>
      <c r="H41" s="12">
        <f t="shared" si="0"/>
        <v>0.57500000000233698</v>
      </c>
      <c r="I41" s="12">
        <f t="shared" si="6"/>
        <v>1.1395511094747235E-6</v>
      </c>
      <c r="J41" s="7" t="str">
        <f t="shared" si="7"/>
        <v>no</v>
      </c>
    </row>
    <row r="42" spans="1:10" x14ac:dyDescent="0.35">
      <c r="A42" s="7">
        <v>27</v>
      </c>
      <c r="B42" s="12">
        <f t="shared" si="1"/>
        <v>-3.4186533284241705E-6</v>
      </c>
      <c r="C42" s="12">
        <f t="shared" si="2"/>
        <v>7</v>
      </c>
      <c r="D42" s="12">
        <f t="shared" si="3"/>
        <v>2.2999991209177151</v>
      </c>
      <c r="E42" s="12">
        <f t="shared" si="4"/>
        <v>1.4651371413876291E-6</v>
      </c>
      <c r="F42" s="12">
        <f>2</f>
        <v>2</v>
      </c>
      <c r="G42" s="12">
        <f t="shared" si="5"/>
        <v>-0.19999868137657284</v>
      </c>
      <c r="H42" s="12">
        <f t="shared" si="0"/>
        <v>0.57500000000096585</v>
      </c>
      <c r="I42" s="12">
        <f t="shared" si="6"/>
        <v>7.3256857069381454E-7</v>
      </c>
      <c r="J42" s="7" t="str">
        <f t="shared" si="7"/>
        <v>no</v>
      </c>
    </row>
    <row r="43" spans="1:10" x14ac:dyDescent="0.35">
      <c r="A43" s="7">
        <v>28</v>
      </c>
      <c r="B43" s="12">
        <f t="shared" si="1"/>
        <v>-2.1977057116373544E-6</v>
      </c>
      <c r="C43" s="12">
        <f t="shared" si="2"/>
        <v>7</v>
      </c>
      <c r="D43" s="12">
        <f t="shared" si="3"/>
        <v>2.2999994348756738</v>
      </c>
      <c r="E43" s="12">
        <f t="shared" si="4"/>
        <v>9.4187387578159587E-7</v>
      </c>
      <c r="F43" s="12">
        <f>2</f>
        <v>2</v>
      </c>
      <c r="G43" s="12">
        <f t="shared" si="5"/>
        <v>-0.19999915231351073</v>
      </c>
      <c r="H43" s="12">
        <f t="shared" si="0"/>
        <v>0.57500000000039875</v>
      </c>
      <c r="I43" s="12">
        <f t="shared" si="6"/>
        <v>4.7093693789079794E-7</v>
      </c>
      <c r="J43" s="7" t="str">
        <f t="shared" si="7"/>
        <v>no</v>
      </c>
    </row>
    <row r="44" spans="1:10" x14ac:dyDescent="0.35">
      <c r="A44" s="7">
        <v>29</v>
      </c>
      <c r="B44" s="12">
        <f t="shared" si="1"/>
        <v>-1.412810814116483E-6</v>
      </c>
      <c r="C44" s="12">
        <f t="shared" si="2"/>
        <v>7</v>
      </c>
      <c r="D44" s="12">
        <f t="shared" si="3"/>
        <v>2.29999963670579</v>
      </c>
      <c r="E44" s="12">
        <f t="shared" si="4"/>
        <v>6.0549034852641626E-7</v>
      </c>
      <c r="F44" s="12">
        <f>2</f>
        <v>2</v>
      </c>
      <c r="G44" s="12">
        <f t="shared" si="5"/>
        <v>-0.19999945505868499</v>
      </c>
      <c r="H44" s="12">
        <f t="shared" si="0"/>
        <v>0.57500000000016493</v>
      </c>
      <c r="I44" s="12">
        <f t="shared" si="6"/>
        <v>3.0274517426320813E-7</v>
      </c>
      <c r="J44" s="7" t="str">
        <f t="shared" si="7"/>
        <v>no</v>
      </c>
    </row>
    <row r="45" spans="1:10" x14ac:dyDescent="0.35">
      <c r="A45" s="7">
        <v>30</v>
      </c>
      <c r="B45" s="12">
        <f t="shared" si="1"/>
        <v>-9.0823552767460569E-7</v>
      </c>
      <c r="C45" s="12">
        <f t="shared" si="2"/>
        <v>7</v>
      </c>
      <c r="D45" s="12">
        <f t="shared" si="3"/>
        <v>2.2999997664537224</v>
      </c>
      <c r="E45" s="12">
        <f t="shared" si="4"/>
        <v>3.8924379719418312E-7</v>
      </c>
      <c r="F45" s="12">
        <f>2</f>
        <v>2</v>
      </c>
      <c r="G45" s="12">
        <f t="shared" si="5"/>
        <v>-0.19999964968058359</v>
      </c>
      <c r="H45" s="12">
        <f t="shared" si="0"/>
        <v>0.57500000000006857</v>
      </c>
      <c r="I45" s="12">
        <f t="shared" si="6"/>
        <v>1.9462189859709156E-7</v>
      </c>
      <c r="J45" s="7" t="str">
        <f t="shared" si="7"/>
        <v>no</v>
      </c>
    </row>
    <row r="46" spans="1:10" x14ac:dyDescent="0.35">
      <c r="A46" s="7">
        <v>31</v>
      </c>
      <c r="B46" s="12">
        <f t="shared" si="1"/>
        <v>-5.8386569534718546E-7</v>
      </c>
      <c r="C46" s="12">
        <f t="shared" si="2"/>
        <v>7</v>
      </c>
      <c r="D46" s="12">
        <f t="shared" si="3"/>
        <v>2.2999998498631076</v>
      </c>
      <c r="E46" s="12">
        <f t="shared" si="4"/>
        <v>2.5022815552944166E-7</v>
      </c>
      <c r="F46" s="12">
        <f>2</f>
        <v>2</v>
      </c>
      <c r="G46" s="12">
        <f t="shared" si="5"/>
        <v>-0.19999977479466136</v>
      </c>
      <c r="H46" s="12">
        <f t="shared" si="0"/>
        <v>0.57500000000002816</v>
      </c>
      <c r="I46" s="12">
        <f t="shared" si="6"/>
        <v>1.2511407776472083E-7</v>
      </c>
      <c r="J46" s="7" t="str">
        <f t="shared" si="7"/>
        <v>no</v>
      </c>
    </row>
    <row r="47" spans="1:10" x14ac:dyDescent="0.35">
      <c r="A47" s="7">
        <v>32</v>
      </c>
      <c r="B47" s="12">
        <f t="shared" si="1"/>
        <v>-3.7534222840918119E-7</v>
      </c>
      <c r="C47" s="12">
        <f t="shared" si="2"/>
        <v>7</v>
      </c>
      <c r="D47" s="12">
        <f t="shared" si="3"/>
        <v>2.299999903483426</v>
      </c>
      <c r="E47" s="12">
        <f t="shared" si="4"/>
        <v>1.6086095477874096E-7</v>
      </c>
      <c r="F47" s="12">
        <f>2</f>
        <v>2</v>
      </c>
      <c r="G47" s="12">
        <f t="shared" si="5"/>
        <v>-0.19999985522513875</v>
      </c>
      <c r="H47" s="12">
        <f t="shared" ref="H47:H78" si="8">SUMPRODUCT((G47+D47*$B$6:$B$9-$C$6:$C$9)^2)/$F$5</f>
        <v>0.57500000000001183</v>
      </c>
      <c r="I47" s="12">
        <f t="shared" si="6"/>
        <v>8.0430477389370481E-8</v>
      </c>
      <c r="J47" s="7" t="str">
        <f t="shared" si="7"/>
        <v>yes</v>
      </c>
    </row>
    <row r="48" spans="1:10" x14ac:dyDescent="0.35">
      <c r="A48" s="7">
        <v>33</v>
      </c>
      <c r="B48" s="12">
        <f t="shared" ref="B48:B74" si="9">2/$F$5*($F$6*G47+$F$7*D47-$F$11)</f>
        <v>-2.4129143305628986E-7</v>
      </c>
      <c r="C48" s="12">
        <f t="shared" ref="C48:C74" si="10">2/$F$5*$F$7</f>
        <v>7</v>
      </c>
      <c r="D48" s="12">
        <f t="shared" ref="D48:D79" si="11">IF(J47="yes",D47,D47-B48/C48)</f>
        <v>2.299999903483426</v>
      </c>
      <c r="E48" s="12">
        <f t="shared" ref="E48:E79" si="12">2/$F$5*($F$5*G47+$F$6*D48-$F$10)</f>
        <v>0</v>
      </c>
      <c r="F48" s="12">
        <f>2</f>
        <v>2</v>
      </c>
      <c r="G48" s="12">
        <f t="shared" ref="G48:G79" si="13">IF(J47="yes",G47,G47-E48/F48)</f>
        <v>-0.19999985522513875</v>
      </c>
      <c r="H48" s="12">
        <f t="shared" si="8"/>
        <v>0.57500000000001183</v>
      </c>
      <c r="I48" s="12">
        <f t="shared" ref="I48:I74" si="14">MAX(ABS(D48-D47),ABS(G48-G47))</f>
        <v>0</v>
      </c>
      <c r="J48" s="7" t="str">
        <f t="shared" ref="J48:J79" si="15">IF(OR(J47="yes",I48&lt;$I$5),"yes","no")</f>
        <v>yes</v>
      </c>
    </row>
    <row r="49" spans="1:10" x14ac:dyDescent="0.35">
      <c r="A49" s="7">
        <v>34</v>
      </c>
      <c r="B49" s="12">
        <f t="shared" si="9"/>
        <v>-2.4129143305628986E-7</v>
      </c>
      <c r="C49" s="12">
        <f t="shared" si="10"/>
        <v>7</v>
      </c>
      <c r="D49" s="12">
        <f t="shared" si="11"/>
        <v>2.299999903483426</v>
      </c>
      <c r="E49" s="12">
        <f t="shared" si="12"/>
        <v>0</v>
      </c>
      <c r="F49" s="12">
        <f>2</f>
        <v>2</v>
      </c>
      <c r="G49" s="12">
        <f t="shared" si="13"/>
        <v>-0.19999985522513875</v>
      </c>
      <c r="H49" s="12">
        <f t="shared" si="8"/>
        <v>0.57500000000001183</v>
      </c>
      <c r="I49" s="12">
        <f t="shared" si="14"/>
        <v>0</v>
      </c>
      <c r="J49" s="7" t="str">
        <f t="shared" si="15"/>
        <v>yes</v>
      </c>
    </row>
    <row r="50" spans="1:10" x14ac:dyDescent="0.35">
      <c r="A50" s="7">
        <v>35</v>
      </c>
      <c r="B50" s="12">
        <f t="shared" si="9"/>
        <v>-2.4129143305628986E-7</v>
      </c>
      <c r="C50" s="12">
        <f t="shared" si="10"/>
        <v>7</v>
      </c>
      <c r="D50" s="12">
        <f t="shared" si="11"/>
        <v>2.299999903483426</v>
      </c>
      <c r="E50" s="12">
        <f t="shared" si="12"/>
        <v>0</v>
      </c>
      <c r="F50" s="12">
        <f>2</f>
        <v>2</v>
      </c>
      <c r="G50" s="12">
        <f t="shared" si="13"/>
        <v>-0.19999985522513875</v>
      </c>
      <c r="H50" s="12">
        <f t="shared" si="8"/>
        <v>0.57500000000001183</v>
      </c>
      <c r="I50" s="12">
        <f t="shared" si="14"/>
        <v>0</v>
      </c>
      <c r="J50" s="7" t="str">
        <f t="shared" si="15"/>
        <v>yes</v>
      </c>
    </row>
    <row r="51" spans="1:10" x14ac:dyDescent="0.35">
      <c r="A51" s="7">
        <v>36</v>
      </c>
      <c r="B51" s="12">
        <f t="shared" si="9"/>
        <v>-2.4129143305628986E-7</v>
      </c>
      <c r="C51" s="12">
        <f t="shared" si="10"/>
        <v>7</v>
      </c>
      <c r="D51" s="12">
        <f t="shared" si="11"/>
        <v>2.299999903483426</v>
      </c>
      <c r="E51" s="12">
        <f t="shared" si="12"/>
        <v>0</v>
      </c>
      <c r="F51" s="12">
        <f>2</f>
        <v>2</v>
      </c>
      <c r="G51" s="12">
        <f t="shared" si="13"/>
        <v>-0.19999985522513875</v>
      </c>
      <c r="H51" s="12">
        <f t="shared" si="8"/>
        <v>0.57500000000001183</v>
      </c>
      <c r="I51" s="12">
        <f t="shared" si="14"/>
        <v>0</v>
      </c>
      <c r="J51" s="7" t="str">
        <f t="shared" si="15"/>
        <v>yes</v>
      </c>
    </row>
    <row r="52" spans="1:10" x14ac:dyDescent="0.35">
      <c r="A52" s="7">
        <v>37</v>
      </c>
      <c r="B52" s="12">
        <f t="shared" si="9"/>
        <v>-2.4129143305628986E-7</v>
      </c>
      <c r="C52" s="12">
        <f t="shared" si="10"/>
        <v>7</v>
      </c>
      <c r="D52" s="12">
        <f t="shared" si="11"/>
        <v>2.299999903483426</v>
      </c>
      <c r="E52" s="12">
        <f t="shared" si="12"/>
        <v>0</v>
      </c>
      <c r="F52" s="12">
        <f>2</f>
        <v>2</v>
      </c>
      <c r="G52" s="12">
        <f t="shared" si="13"/>
        <v>-0.19999985522513875</v>
      </c>
      <c r="H52" s="12">
        <f t="shared" si="8"/>
        <v>0.57500000000001183</v>
      </c>
      <c r="I52" s="12">
        <f t="shared" si="14"/>
        <v>0</v>
      </c>
      <c r="J52" s="7" t="str">
        <f t="shared" si="15"/>
        <v>yes</v>
      </c>
    </row>
    <row r="53" spans="1:10" x14ac:dyDescent="0.35">
      <c r="A53" s="7">
        <v>38</v>
      </c>
      <c r="B53" s="12">
        <f t="shared" si="9"/>
        <v>-2.4129143305628986E-7</v>
      </c>
      <c r="C53" s="12">
        <f t="shared" si="10"/>
        <v>7</v>
      </c>
      <c r="D53" s="12">
        <f t="shared" si="11"/>
        <v>2.299999903483426</v>
      </c>
      <c r="E53" s="12">
        <f t="shared" si="12"/>
        <v>0</v>
      </c>
      <c r="F53" s="12">
        <f>2</f>
        <v>2</v>
      </c>
      <c r="G53" s="12">
        <f t="shared" si="13"/>
        <v>-0.19999985522513875</v>
      </c>
      <c r="H53" s="12">
        <f t="shared" si="8"/>
        <v>0.57500000000001183</v>
      </c>
      <c r="I53" s="12">
        <f t="shared" si="14"/>
        <v>0</v>
      </c>
      <c r="J53" s="7" t="str">
        <f t="shared" si="15"/>
        <v>yes</v>
      </c>
    </row>
    <row r="54" spans="1:10" x14ac:dyDescent="0.35">
      <c r="A54" s="7">
        <v>39</v>
      </c>
      <c r="B54" s="12">
        <f t="shared" si="9"/>
        <v>-2.4129143305628986E-7</v>
      </c>
      <c r="C54" s="12">
        <f t="shared" si="10"/>
        <v>7</v>
      </c>
      <c r="D54" s="12">
        <f t="shared" si="11"/>
        <v>2.299999903483426</v>
      </c>
      <c r="E54" s="12">
        <f t="shared" si="12"/>
        <v>0</v>
      </c>
      <c r="F54" s="12">
        <f>2</f>
        <v>2</v>
      </c>
      <c r="G54" s="12">
        <f t="shared" si="13"/>
        <v>-0.19999985522513875</v>
      </c>
      <c r="H54" s="12">
        <f t="shared" si="8"/>
        <v>0.57500000000001183</v>
      </c>
      <c r="I54" s="12">
        <f t="shared" si="14"/>
        <v>0</v>
      </c>
      <c r="J54" s="7" t="str">
        <f t="shared" si="15"/>
        <v>yes</v>
      </c>
    </row>
    <row r="55" spans="1:10" x14ac:dyDescent="0.35">
      <c r="A55" s="7">
        <v>40</v>
      </c>
      <c r="B55" s="12">
        <f t="shared" si="9"/>
        <v>-2.4129143305628986E-7</v>
      </c>
      <c r="C55" s="12">
        <f t="shared" si="10"/>
        <v>7</v>
      </c>
      <c r="D55" s="12">
        <f t="shared" si="11"/>
        <v>2.299999903483426</v>
      </c>
      <c r="E55" s="12">
        <f t="shared" si="12"/>
        <v>0</v>
      </c>
      <c r="F55" s="12">
        <f>2</f>
        <v>2</v>
      </c>
      <c r="G55" s="12">
        <f t="shared" si="13"/>
        <v>-0.19999985522513875</v>
      </c>
      <c r="H55" s="12">
        <f t="shared" si="8"/>
        <v>0.57500000000001183</v>
      </c>
      <c r="I55" s="12">
        <f t="shared" si="14"/>
        <v>0</v>
      </c>
      <c r="J55" s="7" t="str">
        <f t="shared" si="15"/>
        <v>yes</v>
      </c>
    </row>
    <row r="56" spans="1:10" x14ac:dyDescent="0.35">
      <c r="A56" s="7">
        <v>41</v>
      </c>
      <c r="B56" s="12">
        <f t="shared" si="9"/>
        <v>-2.4129143305628986E-7</v>
      </c>
      <c r="C56" s="12">
        <f t="shared" si="10"/>
        <v>7</v>
      </c>
      <c r="D56" s="12">
        <f t="shared" si="11"/>
        <v>2.299999903483426</v>
      </c>
      <c r="E56" s="12">
        <f t="shared" si="12"/>
        <v>0</v>
      </c>
      <c r="F56" s="12">
        <f>2</f>
        <v>2</v>
      </c>
      <c r="G56" s="12">
        <f t="shared" si="13"/>
        <v>-0.19999985522513875</v>
      </c>
      <c r="H56" s="12">
        <f t="shared" si="8"/>
        <v>0.57500000000001183</v>
      </c>
      <c r="I56" s="12">
        <f t="shared" si="14"/>
        <v>0</v>
      </c>
      <c r="J56" s="7" t="str">
        <f t="shared" si="15"/>
        <v>yes</v>
      </c>
    </row>
    <row r="57" spans="1:10" x14ac:dyDescent="0.35">
      <c r="A57" s="7">
        <v>42</v>
      </c>
      <c r="B57" s="12">
        <f t="shared" si="9"/>
        <v>-2.4129143305628986E-7</v>
      </c>
      <c r="C57" s="12">
        <f t="shared" si="10"/>
        <v>7</v>
      </c>
      <c r="D57" s="12">
        <f t="shared" si="11"/>
        <v>2.299999903483426</v>
      </c>
      <c r="E57" s="12">
        <f t="shared" si="12"/>
        <v>0</v>
      </c>
      <c r="F57" s="12">
        <f>2</f>
        <v>2</v>
      </c>
      <c r="G57" s="12">
        <f t="shared" si="13"/>
        <v>-0.19999985522513875</v>
      </c>
      <c r="H57" s="12">
        <f t="shared" si="8"/>
        <v>0.57500000000001183</v>
      </c>
      <c r="I57" s="12">
        <f t="shared" si="14"/>
        <v>0</v>
      </c>
      <c r="J57" s="7" t="str">
        <f t="shared" si="15"/>
        <v>yes</v>
      </c>
    </row>
    <row r="58" spans="1:10" x14ac:dyDescent="0.35">
      <c r="A58" s="7">
        <v>43</v>
      </c>
      <c r="B58" s="12">
        <f t="shared" si="9"/>
        <v>-2.4129143305628986E-7</v>
      </c>
      <c r="C58" s="12">
        <f t="shared" si="10"/>
        <v>7</v>
      </c>
      <c r="D58" s="12">
        <f t="shared" si="11"/>
        <v>2.299999903483426</v>
      </c>
      <c r="E58" s="12">
        <f t="shared" si="12"/>
        <v>0</v>
      </c>
      <c r="F58" s="12">
        <f>2</f>
        <v>2</v>
      </c>
      <c r="G58" s="12">
        <f t="shared" si="13"/>
        <v>-0.19999985522513875</v>
      </c>
      <c r="H58" s="12">
        <f t="shared" si="8"/>
        <v>0.57500000000001183</v>
      </c>
      <c r="I58" s="12">
        <f t="shared" si="14"/>
        <v>0</v>
      </c>
      <c r="J58" s="7" t="str">
        <f t="shared" si="15"/>
        <v>yes</v>
      </c>
    </row>
    <row r="59" spans="1:10" x14ac:dyDescent="0.35">
      <c r="A59" s="7">
        <v>44</v>
      </c>
      <c r="B59" s="12">
        <f t="shared" si="9"/>
        <v>-2.4129143305628986E-7</v>
      </c>
      <c r="C59" s="12">
        <f t="shared" si="10"/>
        <v>7</v>
      </c>
      <c r="D59" s="12">
        <f t="shared" si="11"/>
        <v>2.299999903483426</v>
      </c>
      <c r="E59" s="12">
        <f t="shared" si="12"/>
        <v>0</v>
      </c>
      <c r="F59" s="12">
        <f>2</f>
        <v>2</v>
      </c>
      <c r="G59" s="12">
        <f t="shared" si="13"/>
        <v>-0.19999985522513875</v>
      </c>
      <c r="H59" s="12">
        <f t="shared" si="8"/>
        <v>0.57500000000001183</v>
      </c>
      <c r="I59" s="12">
        <f t="shared" si="14"/>
        <v>0</v>
      </c>
      <c r="J59" s="7" t="str">
        <f t="shared" si="15"/>
        <v>yes</v>
      </c>
    </row>
    <row r="60" spans="1:10" x14ac:dyDescent="0.35">
      <c r="A60" s="7">
        <v>45</v>
      </c>
      <c r="B60" s="12">
        <f t="shared" si="9"/>
        <v>-2.4129143305628986E-7</v>
      </c>
      <c r="C60" s="12">
        <f t="shared" si="10"/>
        <v>7</v>
      </c>
      <c r="D60" s="12">
        <f t="shared" si="11"/>
        <v>2.299999903483426</v>
      </c>
      <c r="E60" s="12">
        <f t="shared" si="12"/>
        <v>0</v>
      </c>
      <c r="F60" s="12">
        <f>2</f>
        <v>2</v>
      </c>
      <c r="G60" s="12">
        <f t="shared" si="13"/>
        <v>-0.19999985522513875</v>
      </c>
      <c r="H60" s="12">
        <f t="shared" si="8"/>
        <v>0.57500000000001183</v>
      </c>
      <c r="I60" s="12">
        <f t="shared" si="14"/>
        <v>0</v>
      </c>
      <c r="J60" s="7" t="str">
        <f t="shared" si="15"/>
        <v>yes</v>
      </c>
    </row>
    <row r="61" spans="1:10" x14ac:dyDescent="0.35">
      <c r="A61" s="7">
        <v>46</v>
      </c>
      <c r="B61" s="12">
        <f t="shared" si="9"/>
        <v>-2.4129143305628986E-7</v>
      </c>
      <c r="C61" s="12">
        <f t="shared" si="10"/>
        <v>7</v>
      </c>
      <c r="D61" s="12">
        <f t="shared" si="11"/>
        <v>2.299999903483426</v>
      </c>
      <c r="E61" s="12">
        <f t="shared" si="12"/>
        <v>0</v>
      </c>
      <c r="F61" s="12">
        <f>2</f>
        <v>2</v>
      </c>
      <c r="G61" s="12">
        <f t="shared" si="13"/>
        <v>-0.19999985522513875</v>
      </c>
      <c r="H61" s="12">
        <f t="shared" si="8"/>
        <v>0.57500000000001183</v>
      </c>
      <c r="I61" s="12">
        <f t="shared" si="14"/>
        <v>0</v>
      </c>
      <c r="J61" s="7" t="str">
        <f t="shared" si="15"/>
        <v>yes</v>
      </c>
    </row>
    <row r="62" spans="1:10" x14ac:dyDescent="0.35">
      <c r="A62" s="7">
        <v>47</v>
      </c>
      <c r="B62" s="12">
        <f t="shared" si="9"/>
        <v>-2.4129143305628986E-7</v>
      </c>
      <c r="C62" s="12">
        <f t="shared" si="10"/>
        <v>7</v>
      </c>
      <c r="D62" s="12">
        <f t="shared" si="11"/>
        <v>2.299999903483426</v>
      </c>
      <c r="E62" s="12">
        <f t="shared" si="12"/>
        <v>0</v>
      </c>
      <c r="F62" s="12">
        <f>2</f>
        <v>2</v>
      </c>
      <c r="G62" s="12">
        <f t="shared" si="13"/>
        <v>-0.19999985522513875</v>
      </c>
      <c r="H62" s="12">
        <f t="shared" si="8"/>
        <v>0.57500000000001183</v>
      </c>
      <c r="I62" s="12">
        <f t="shared" si="14"/>
        <v>0</v>
      </c>
      <c r="J62" s="7" t="str">
        <f t="shared" si="15"/>
        <v>yes</v>
      </c>
    </row>
    <row r="63" spans="1:10" x14ac:dyDescent="0.35">
      <c r="A63" s="7">
        <v>48</v>
      </c>
      <c r="B63" s="12">
        <f t="shared" si="9"/>
        <v>-2.4129143305628986E-7</v>
      </c>
      <c r="C63" s="12">
        <f t="shared" si="10"/>
        <v>7</v>
      </c>
      <c r="D63" s="12">
        <f t="shared" si="11"/>
        <v>2.299999903483426</v>
      </c>
      <c r="E63" s="12">
        <f t="shared" si="12"/>
        <v>0</v>
      </c>
      <c r="F63" s="12">
        <f>2</f>
        <v>2</v>
      </c>
      <c r="G63" s="12">
        <f t="shared" si="13"/>
        <v>-0.19999985522513875</v>
      </c>
      <c r="H63" s="12">
        <f t="shared" si="8"/>
        <v>0.57500000000001183</v>
      </c>
      <c r="I63" s="12">
        <f t="shared" si="14"/>
        <v>0</v>
      </c>
      <c r="J63" s="7" t="str">
        <f t="shared" si="15"/>
        <v>yes</v>
      </c>
    </row>
    <row r="64" spans="1:10" x14ac:dyDescent="0.35">
      <c r="A64" s="7">
        <v>49</v>
      </c>
      <c r="B64" s="12">
        <f t="shared" si="9"/>
        <v>-2.4129143305628986E-7</v>
      </c>
      <c r="C64" s="12">
        <f t="shared" si="10"/>
        <v>7</v>
      </c>
      <c r="D64" s="12">
        <f t="shared" si="11"/>
        <v>2.299999903483426</v>
      </c>
      <c r="E64" s="12">
        <f t="shared" si="12"/>
        <v>0</v>
      </c>
      <c r="F64" s="12">
        <f>2</f>
        <v>2</v>
      </c>
      <c r="G64" s="12">
        <f t="shared" si="13"/>
        <v>-0.19999985522513875</v>
      </c>
      <c r="H64" s="12">
        <f t="shared" si="8"/>
        <v>0.57500000000001183</v>
      </c>
      <c r="I64" s="12">
        <f t="shared" si="14"/>
        <v>0</v>
      </c>
      <c r="J64" s="7" t="str">
        <f t="shared" si="15"/>
        <v>yes</v>
      </c>
    </row>
    <row r="65" spans="1:10" x14ac:dyDescent="0.35">
      <c r="A65" s="7">
        <v>50</v>
      </c>
      <c r="B65" s="12">
        <f t="shared" si="9"/>
        <v>-2.4129143305628986E-7</v>
      </c>
      <c r="C65" s="12">
        <f t="shared" si="10"/>
        <v>7</v>
      </c>
      <c r="D65" s="12">
        <f t="shared" si="11"/>
        <v>2.299999903483426</v>
      </c>
      <c r="E65" s="12">
        <f t="shared" si="12"/>
        <v>0</v>
      </c>
      <c r="F65" s="12">
        <f>2</f>
        <v>2</v>
      </c>
      <c r="G65" s="12">
        <f t="shared" si="13"/>
        <v>-0.19999985522513875</v>
      </c>
      <c r="H65" s="12">
        <f t="shared" si="8"/>
        <v>0.57500000000001183</v>
      </c>
      <c r="I65" s="12">
        <f t="shared" si="14"/>
        <v>0</v>
      </c>
      <c r="J65" s="7" t="str">
        <f t="shared" si="15"/>
        <v>yes</v>
      </c>
    </row>
    <row r="66" spans="1:10" x14ac:dyDescent="0.35">
      <c r="A66" s="7">
        <v>51</v>
      </c>
      <c r="B66" s="12">
        <f t="shared" si="9"/>
        <v>-2.4129143305628986E-7</v>
      </c>
      <c r="C66" s="12">
        <f t="shared" si="10"/>
        <v>7</v>
      </c>
      <c r="D66" s="12">
        <f t="shared" si="11"/>
        <v>2.299999903483426</v>
      </c>
      <c r="E66" s="12">
        <f t="shared" si="12"/>
        <v>0</v>
      </c>
      <c r="F66" s="12">
        <f>2</f>
        <v>2</v>
      </c>
      <c r="G66" s="12">
        <f t="shared" si="13"/>
        <v>-0.19999985522513875</v>
      </c>
      <c r="H66" s="12">
        <f t="shared" si="8"/>
        <v>0.57500000000001183</v>
      </c>
      <c r="I66" s="12">
        <f t="shared" si="14"/>
        <v>0</v>
      </c>
      <c r="J66" s="7" t="str">
        <f t="shared" si="15"/>
        <v>yes</v>
      </c>
    </row>
    <row r="67" spans="1:10" x14ac:dyDescent="0.35">
      <c r="A67" s="7">
        <v>52</v>
      </c>
      <c r="B67" s="12">
        <f t="shared" si="9"/>
        <v>-2.4129143305628986E-7</v>
      </c>
      <c r="C67" s="12">
        <f t="shared" si="10"/>
        <v>7</v>
      </c>
      <c r="D67" s="12">
        <f t="shared" si="11"/>
        <v>2.299999903483426</v>
      </c>
      <c r="E67" s="12">
        <f t="shared" si="12"/>
        <v>0</v>
      </c>
      <c r="F67" s="12">
        <f>2</f>
        <v>2</v>
      </c>
      <c r="G67" s="12">
        <f t="shared" si="13"/>
        <v>-0.19999985522513875</v>
      </c>
      <c r="H67" s="12">
        <f t="shared" si="8"/>
        <v>0.57500000000001183</v>
      </c>
      <c r="I67" s="12">
        <f t="shared" si="14"/>
        <v>0</v>
      </c>
      <c r="J67" s="7" t="str">
        <f t="shared" si="15"/>
        <v>yes</v>
      </c>
    </row>
    <row r="68" spans="1:10" x14ac:dyDescent="0.35">
      <c r="A68" s="7">
        <v>53</v>
      </c>
      <c r="B68" s="12">
        <f t="shared" si="9"/>
        <v>-2.4129143305628986E-7</v>
      </c>
      <c r="C68" s="12">
        <f t="shared" si="10"/>
        <v>7</v>
      </c>
      <c r="D68" s="12">
        <f t="shared" si="11"/>
        <v>2.299999903483426</v>
      </c>
      <c r="E68" s="12">
        <f t="shared" si="12"/>
        <v>0</v>
      </c>
      <c r="F68" s="12">
        <f>2</f>
        <v>2</v>
      </c>
      <c r="G68" s="12">
        <f t="shared" si="13"/>
        <v>-0.19999985522513875</v>
      </c>
      <c r="H68" s="12">
        <f t="shared" si="8"/>
        <v>0.57500000000001183</v>
      </c>
      <c r="I68" s="12">
        <f t="shared" si="14"/>
        <v>0</v>
      </c>
      <c r="J68" s="7" t="str">
        <f t="shared" si="15"/>
        <v>yes</v>
      </c>
    </row>
    <row r="69" spans="1:10" x14ac:dyDescent="0.35">
      <c r="A69" s="7">
        <v>54</v>
      </c>
      <c r="B69" s="12">
        <f t="shared" si="9"/>
        <v>-2.4129143305628986E-7</v>
      </c>
      <c r="C69" s="12">
        <f t="shared" si="10"/>
        <v>7</v>
      </c>
      <c r="D69" s="12">
        <f t="shared" si="11"/>
        <v>2.299999903483426</v>
      </c>
      <c r="E69" s="12">
        <f t="shared" si="12"/>
        <v>0</v>
      </c>
      <c r="F69" s="12">
        <f>2</f>
        <v>2</v>
      </c>
      <c r="G69" s="12">
        <f t="shared" si="13"/>
        <v>-0.19999985522513875</v>
      </c>
      <c r="H69" s="12">
        <f t="shared" si="8"/>
        <v>0.57500000000001183</v>
      </c>
      <c r="I69" s="12">
        <f t="shared" si="14"/>
        <v>0</v>
      </c>
      <c r="J69" s="7" t="str">
        <f t="shared" si="15"/>
        <v>yes</v>
      </c>
    </row>
    <row r="70" spans="1:10" x14ac:dyDescent="0.35">
      <c r="A70" s="7">
        <v>55</v>
      </c>
      <c r="B70" s="12">
        <f t="shared" si="9"/>
        <v>-2.4129143305628986E-7</v>
      </c>
      <c r="C70" s="12">
        <f t="shared" si="10"/>
        <v>7</v>
      </c>
      <c r="D70" s="12">
        <f t="shared" si="11"/>
        <v>2.299999903483426</v>
      </c>
      <c r="E70" s="12">
        <f t="shared" si="12"/>
        <v>0</v>
      </c>
      <c r="F70" s="12">
        <f>2</f>
        <v>2</v>
      </c>
      <c r="G70" s="12">
        <f t="shared" si="13"/>
        <v>-0.19999985522513875</v>
      </c>
      <c r="H70" s="12">
        <f t="shared" si="8"/>
        <v>0.57500000000001183</v>
      </c>
      <c r="I70" s="12">
        <f t="shared" si="14"/>
        <v>0</v>
      </c>
      <c r="J70" s="7" t="str">
        <f t="shared" si="15"/>
        <v>yes</v>
      </c>
    </row>
    <row r="71" spans="1:10" x14ac:dyDescent="0.35">
      <c r="A71" s="7">
        <v>56</v>
      </c>
      <c r="B71" s="12">
        <f t="shared" si="9"/>
        <v>-2.4129143305628986E-7</v>
      </c>
      <c r="C71" s="12">
        <f t="shared" si="10"/>
        <v>7</v>
      </c>
      <c r="D71" s="12">
        <f t="shared" si="11"/>
        <v>2.299999903483426</v>
      </c>
      <c r="E71" s="12">
        <f t="shared" si="12"/>
        <v>0</v>
      </c>
      <c r="F71" s="12">
        <f>2</f>
        <v>2</v>
      </c>
      <c r="G71" s="12">
        <f t="shared" si="13"/>
        <v>-0.19999985522513875</v>
      </c>
      <c r="H71" s="12">
        <f t="shared" si="8"/>
        <v>0.57500000000001183</v>
      </c>
      <c r="I71" s="12">
        <f t="shared" si="14"/>
        <v>0</v>
      </c>
      <c r="J71" s="7" t="str">
        <f t="shared" si="15"/>
        <v>yes</v>
      </c>
    </row>
    <row r="72" spans="1:10" x14ac:dyDescent="0.35">
      <c r="A72" s="7">
        <v>57</v>
      </c>
      <c r="B72" s="12">
        <f t="shared" si="9"/>
        <v>-2.4129143305628986E-7</v>
      </c>
      <c r="C72" s="12">
        <f t="shared" si="10"/>
        <v>7</v>
      </c>
      <c r="D72" s="12">
        <f t="shared" si="11"/>
        <v>2.299999903483426</v>
      </c>
      <c r="E72" s="12">
        <f t="shared" si="12"/>
        <v>0</v>
      </c>
      <c r="F72" s="12">
        <f>2</f>
        <v>2</v>
      </c>
      <c r="G72" s="12">
        <f t="shared" si="13"/>
        <v>-0.19999985522513875</v>
      </c>
      <c r="H72" s="12">
        <f t="shared" si="8"/>
        <v>0.57500000000001183</v>
      </c>
      <c r="I72" s="12">
        <f t="shared" si="14"/>
        <v>0</v>
      </c>
      <c r="J72" s="7" t="str">
        <f t="shared" si="15"/>
        <v>yes</v>
      </c>
    </row>
    <row r="73" spans="1:10" x14ac:dyDescent="0.35">
      <c r="A73" s="7">
        <v>58</v>
      </c>
      <c r="B73" s="12">
        <f t="shared" si="9"/>
        <v>-2.4129143305628986E-7</v>
      </c>
      <c r="C73" s="12">
        <f t="shared" si="10"/>
        <v>7</v>
      </c>
      <c r="D73" s="12">
        <f t="shared" si="11"/>
        <v>2.299999903483426</v>
      </c>
      <c r="E73" s="12">
        <f t="shared" si="12"/>
        <v>0</v>
      </c>
      <c r="F73" s="12">
        <f>2</f>
        <v>2</v>
      </c>
      <c r="G73" s="12">
        <f t="shared" si="13"/>
        <v>-0.19999985522513875</v>
      </c>
      <c r="H73" s="12">
        <f t="shared" si="8"/>
        <v>0.57500000000001183</v>
      </c>
      <c r="I73" s="12">
        <f t="shared" si="14"/>
        <v>0</v>
      </c>
      <c r="J73" s="7" t="str">
        <f t="shared" si="15"/>
        <v>yes</v>
      </c>
    </row>
    <row r="74" spans="1:10" x14ac:dyDescent="0.35">
      <c r="A74" s="7">
        <v>59</v>
      </c>
      <c r="B74" s="12">
        <f t="shared" si="9"/>
        <v>-2.4129143305628986E-7</v>
      </c>
      <c r="C74" s="12">
        <f t="shared" si="10"/>
        <v>7</v>
      </c>
      <c r="D74" s="12">
        <f t="shared" si="11"/>
        <v>2.299999903483426</v>
      </c>
      <c r="E74" s="12">
        <f t="shared" si="12"/>
        <v>0</v>
      </c>
      <c r="F74" s="12">
        <f>2</f>
        <v>2</v>
      </c>
      <c r="G74" s="12">
        <f t="shared" si="13"/>
        <v>-0.19999985522513875</v>
      </c>
      <c r="H74" s="12">
        <f t="shared" si="8"/>
        <v>0.57500000000001183</v>
      </c>
      <c r="I74" s="12">
        <f t="shared" si="14"/>
        <v>0</v>
      </c>
      <c r="J74" s="7" t="str">
        <f t="shared" si="15"/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14"/>
  <sheetViews>
    <sheetView tabSelected="1" zoomScaleNormal="100" workbookViewId="0">
      <pane ySplit="14" topLeftCell="A15" activePane="bottomLeft" state="frozen"/>
      <selection pane="bottomLeft" activeCell="Q5" sqref="Q5"/>
    </sheetView>
  </sheetViews>
  <sheetFormatPr defaultColWidth="8.6328125" defaultRowHeight="14.5" x14ac:dyDescent="0.35"/>
  <cols>
    <col min="1" max="1" width="6" customWidth="1"/>
    <col min="2" max="2" width="12" customWidth="1"/>
    <col min="3" max="3" width="9" customWidth="1"/>
    <col min="4" max="5" width="12" customWidth="1"/>
    <col min="6" max="6" width="9" customWidth="1"/>
    <col min="7" max="8" width="12" customWidth="1"/>
    <col min="9" max="9" width="9" customWidth="1"/>
    <col min="10" max="12" width="12" customWidth="1"/>
    <col min="13" max="13" width="10" customWidth="1"/>
    <col min="14" max="14" width="3" customWidth="1"/>
    <col min="15" max="15" width="20" customWidth="1"/>
    <col min="16" max="16" width="13" customWidth="1"/>
    <col min="17" max="18" width="9" customWidth="1"/>
    <col min="19" max="19" width="13" customWidth="1"/>
    <col min="20" max="20" width="4" customWidth="1"/>
  </cols>
  <sheetData>
    <row r="1" spans="1:20" ht="16.5" x14ac:dyDescent="0.35">
      <c r="A1" s="1" t="s">
        <v>38</v>
      </c>
    </row>
    <row r="2" spans="1:20" x14ac:dyDescent="0.35">
      <c r="A2" s="2" t="s">
        <v>39</v>
      </c>
    </row>
    <row r="4" spans="1:20" x14ac:dyDescent="0.35">
      <c r="A4" s="4" t="s">
        <v>2</v>
      </c>
      <c r="E4" s="4" t="s">
        <v>3</v>
      </c>
      <c r="H4" s="4" t="s">
        <v>4</v>
      </c>
      <c r="O4" s="4" t="s">
        <v>5</v>
      </c>
    </row>
    <row r="5" spans="1:20" x14ac:dyDescent="0.35">
      <c r="A5" s="5" t="s">
        <v>6</v>
      </c>
      <c r="B5" s="5" t="s">
        <v>7</v>
      </c>
      <c r="C5" s="5" t="s">
        <v>8</v>
      </c>
      <c r="E5" s="2" t="s">
        <v>9</v>
      </c>
      <c r="F5" s="2">
        <f>COUNT(B6:B9)</f>
        <v>4</v>
      </c>
      <c r="H5" s="2" t="s">
        <v>10</v>
      </c>
      <c r="I5" s="6">
        <v>9.9999999999999995E-8</v>
      </c>
      <c r="J5" s="3"/>
      <c r="O5" s="4" t="s">
        <v>11</v>
      </c>
      <c r="P5" s="4">
        <f>INDEX(A15:A414,MATCH("yes",M15:M414,0))</f>
        <v>276</v>
      </c>
    </row>
    <row r="6" spans="1:20" x14ac:dyDescent="0.35">
      <c r="A6" s="7">
        <v>1</v>
      </c>
      <c r="B6" s="8">
        <v>0</v>
      </c>
      <c r="C6" s="8">
        <v>0.5</v>
      </c>
      <c r="E6" s="2" t="s">
        <v>12</v>
      </c>
      <c r="F6" s="2">
        <f>SUM(B6:B9)</f>
        <v>6</v>
      </c>
      <c r="H6" s="2" t="s">
        <v>40</v>
      </c>
      <c r="I6" s="9">
        <v>0</v>
      </c>
      <c r="J6" s="3"/>
      <c r="O6" s="4" t="s">
        <v>41</v>
      </c>
      <c r="P6" s="10">
        <f>D414</f>
        <v>0.74999909551417643</v>
      </c>
    </row>
    <row r="7" spans="1:20" x14ac:dyDescent="0.35">
      <c r="A7" s="7">
        <v>2</v>
      </c>
      <c r="B7" s="8">
        <v>2</v>
      </c>
      <c r="C7" s="8">
        <v>3.5</v>
      </c>
      <c r="E7" s="2" t="s">
        <v>15</v>
      </c>
      <c r="F7" s="2">
        <f>SUMPRODUCT(B6:B9^2)</f>
        <v>14</v>
      </c>
      <c r="H7" s="2" t="s">
        <v>42</v>
      </c>
      <c r="I7" s="9">
        <v>0</v>
      </c>
      <c r="O7" s="4" t="s">
        <v>43</v>
      </c>
      <c r="P7" s="10">
        <f>G414</f>
        <v>5.0002754150586019E-2</v>
      </c>
    </row>
    <row r="8" spans="1:20" x14ac:dyDescent="0.35">
      <c r="A8" s="7">
        <v>3</v>
      </c>
      <c r="B8" s="8">
        <v>1</v>
      </c>
      <c r="C8" s="8">
        <v>1.5</v>
      </c>
      <c r="E8" s="2" t="s">
        <v>18</v>
      </c>
      <c r="F8" s="2">
        <f>SUMPRODUCT(B6:B9^3)</f>
        <v>36</v>
      </c>
      <c r="H8" s="2" t="s">
        <v>44</v>
      </c>
      <c r="I8" s="9">
        <v>0</v>
      </c>
      <c r="O8" s="4" t="s">
        <v>45</v>
      </c>
      <c r="P8" s="10">
        <f>J414</f>
        <v>0.54999903447450382</v>
      </c>
    </row>
    <row r="9" spans="1:20" x14ac:dyDescent="0.35">
      <c r="A9" s="7">
        <v>4</v>
      </c>
      <c r="B9" s="8">
        <v>3</v>
      </c>
      <c r="C9" s="8">
        <v>7.5</v>
      </c>
      <c r="E9" s="2" t="s">
        <v>20</v>
      </c>
      <c r="F9" s="2">
        <f>SUMPRODUCT(B6:B9^4)</f>
        <v>98</v>
      </c>
      <c r="O9" s="4" t="s">
        <v>19</v>
      </c>
      <c r="P9" s="10">
        <f>K414</f>
        <v>1.2500000000820164E-2</v>
      </c>
    </row>
    <row r="10" spans="1:20" x14ac:dyDescent="0.35">
      <c r="A10" s="3"/>
      <c r="E10" s="2" t="s">
        <v>22</v>
      </c>
      <c r="F10" s="2">
        <f>SUM(C6:C9)</f>
        <v>13</v>
      </c>
      <c r="O10" s="2" t="s">
        <v>25</v>
      </c>
      <c r="P10" s="11">
        <f>1.25*10^-2</f>
        <v>1.2500000000000001E-2</v>
      </c>
      <c r="S10" s="4"/>
    </row>
    <row r="11" spans="1:20" x14ac:dyDescent="0.35">
      <c r="E11" s="2" t="s">
        <v>24</v>
      </c>
      <c r="F11" s="2">
        <f>SUMPRODUCT(B6:B9,C6:C9)</f>
        <v>31</v>
      </c>
      <c r="O11" s="7"/>
      <c r="P11" s="7"/>
      <c r="Q11" s="7"/>
      <c r="R11" s="7"/>
      <c r="S11" s="11"/>
      <c r="T11" s="2"/>
    </row>
    <row r="12" spans="1:20" x14ac:dyDescent="0.35">
      <c r="E12" s="2" t="s">
        <v>26</v>
      </c>
      <c r="F12" s="2">
        <f>SUMPRODUCT(B6:B9^2,C6:C9)</f>
        <v>83</v>
      </c>
      <c r="O12" s="7"/>
      <c r="P12" s="7"/>
      <c r="Q12" s="7"/>
      <c r="R12" s="7"/>
      <c r="S12" s="11"/>
      <c r="T12" s="2"/>
    </row>
    <row r="13" spans="1:20" x14ac:dyDescent="0.35">
      <c r="O13" s="7"/>
      <c r="P13" s="7"/>
      <c r="Q13" s="7"/>
      <c r="R13" s="7"/>
      <c r="S13" s="11"/>
      <c r="T13" s="2"/>
    </row>
    <row r="14" spans="1:20" ht="31.5" customHeight="1" x14ac:dyDescent="0.35">
      <c r="A14" s="5" t="s">
        <v>27</v>
      </c>
      <c r="B14" s="5" t="s">
        <v>46</v>
      </c>
      <c r="C14" s="5" t="s">
        <v>47</v>
      </c>
      <c r="D14" s="5" t="s">
        <v>48</v>
      </c>
      <c r="E14" s="5" t="s">
        <v>49</v>
      </c>
      <c r="F14" s="5" t="s">
        <v>50</v>
      </c>
      <c r="G14" s="5" t="s">
        <v>51</v>
      </c>
      <c r="H14" s="5" t="s">
        <v>52</v>
      </c>
      <c r="I14" s="5" t="s">
        <v>53</v>
      </c>
      <c r="J14" s="5" t="s">
        <v>54</v>
      </c>
      <c r="K14" s="5" t="s">
        <v>34</v>
      </c>
      <c r="L14" s="5" t="s">
        <v>35</v>
      </c>
      <c r="M14" s="5" t="s">
        <v>36</v>
      </c>
    </row>
    <row r="15" spans="1:20" x14ac:dyDescent="0.35">
      <c r="A15" s="7">
        <v>0</v>
      </c>
      <c r="B15" s="12"/>
      <c r="C15" s="12"/>
      <c r="D15" s="12">
        <f>$I$6</f>
        <v>0</v>
      </c>
      <c r="E15" s="12"/>
      <c r="F15" s="12"/>
      <c r="G15" s="12">
        <f>$I$7</f>
        <v>0</v>
      </c>
      <c r="H15" s="12"/>
      <c r="I15" s="12"/>
      <c r="J15" s="12">
        <f>$I$8</f>
        <v>0</v>
      </c>
      <c r="K15" s="12">
        <f t="shared" ref="K15:K78" si="0">SUMPRODUCT((D15*$B$6:$B$9^2+G15*$B$6:$B$9+J15-$C$6:$C$9)^2)/$F$5</f>
        <v>17.75</v>
      </c>
      <c r="L15" s="12"/>
      <c r="M15" s="7" t="s">
        <v>37</v>
      </c>
    </row>
    <row r="16" spans="1:20" x14ac:dyDescent="0.35">
      <c r="A16" s="7">
        <v>1</v>
      </c>
      <c r="B16" s="12">
        <f t="shared" ref="B16:B79" si="1">2/$F$5*($F$9*D15+$F$8*G15+$F$7*J15-$F$12)</f>
        <v>-41.5</v>
      </c>
      <c r="C16" s="12">
        <f t="shared" ref="C16:C79" si="2">2/$F$5*$F$9</f>
        <v>49</v>
      </c>
      <c r="D16" s="12">
        <f t="shared" ref="D16:D79" si="3">IF(M15="yes",D15,D15-B16/C16)</f>
        <v>0.84693877551020413</v>
      </c>
      <c r="E16" s="12">
        <f t="shared" ref="E16:E79" si="4">2/$F$5*($F$8*D16+$F$7*G15+$F$6*J15-$F$11)</f>
        <v>-0.25510204081632537</v>
      </c>
      <c r="F16" s="12">
        <f t="shared" ref="F16:F79" si="5">2/$F$5*$F$7</f>
        <v>7</v>
      </c>
      <c r="G16" s="12">
        <f t="shared" ref="G16:G79" si="6">IF(M15="yes",G15,G15-E16/F16)</f>
        <v>3.6443148688046482E-2</v>
      </c>
      <c r="H16" s="12">
        <f t="shared" ref="H16:H79" si="7">2/$F$5*($F$7*D16+$F$6*G16+$F$5*J15-$F$10)</f>
        <v>-0.46209912536443198</v>
      </c>
      <c r="I16" s="12">
        <f>2</f>
        <v>2</v>
      </c>
      <c r="J16" s="12">
        <f t="shared" ref="J16:J79" si="8">IF(M15="yes",J15,J15-H16/I16)</f>
        <v>0.23104956268221599</v>
      </c>
      <c r="K16" s="12">
        <f t="shared" si="0"/>
        <v>0.11798814694557538</v>
      </c>
      <c r="L16" s="12">
        <f t="shared" ref="L16:L79" si="9">MAX(ABS(D16-D15),ABS(G16-G15),ABS(J16-J15))</f>
        <v>0.84693877551020413</v>
      </c>
      <c r="M16" s="7" t="str">
        <f t="shared" ref="M16:M79" si="10">IF(OR(M15="yes",L16&lt;$I$5),"yes","no")</f>
        <v>no</v>
      </c>
    </row>
    <row r="17" spans="1:13" x14ac:dyDescent="0.35">
      <c r="A17" s="7">
        <v>2</v>
      </c>
      <c r="B17" s="12">
        <f t="shared" si="1"/>
        <v>2.2733236151603506</v>
      </c>
      <c r="C17" s="12">
        <f t="shared" si="2"/>
        <v>49</v>
      </c>
      <c r="D17" s="12">
        <f t="shared" si="3"/>
        <v>0.80054441601713577</v>
      </c>
      <c r="E17" s="12">
        <f t="shared" si="4"/>
        <v>-0.14194978282858273</v>
      </c>
      <c r="F17" s="12">
        <f t="shared" si="5"/>
        <v>7</v>
      </c>
      <c r="G17" s="12">
        <f t="shared" si="6"/>
        <v>5.6721689092129726E-2</v>
      </c>
      <c r="H17" s="12">
        <f t="shared" si="7"/>
        <v>-0.2639248952392288</v>
      </c>
      <c r="I17" s="12">
        <f>2</f>
        <v>2</v>
      </c>
      <c r="J17" s="12">
        <f t="shared" si="8"/>
        <v>0.36301201030183039</v>
      </c>
      <c r="K17" s="12">
        <f t="shared" si="0"/>
        <v>4.64000956376803E-2</v>
      </c>
      <c r="L17" s="12">
        <f t="shared" si="9"/>
        <v>0.1319624476196144</v>
      </c>
      <c r="M17" s="7" t="str">
        <f t="shared" si="10"/>
        <v>no</v>
      </c>
    </row>
    <row r="18" spans="1:13" x14ac:dyDescent="0.35">
      <c r="A18" s="7">
        <v>3</v>
      </c>
      <c r="B18" s="12">
        <f t="shared" si="1"/>
        <v>1.2887508606107971</v>
      </c>
      <c r="C18" s="12">
        <f t="shared" si="2"/>
        <v>49</v>
      </c>
      <c r="D18" s="12">
        <f t="shared" si="3"/>
        <v>0.77424337804548682</v>
      </c>
      <c r="E18" s="12">
        <f t="shared" si="4"/>
        <v>-7.7531340630837775E-2</v>
      </c>
      <c r="F18" s="12">
        <f t="shared" si="5"/>
        <v>7</v>
      </c>
      <c r="G18" s="12">
        <f t="shared" si="6"/>
        <v>6.7797594896535127E-2</v>
      </c>
      <c r="H18" s="12">
        <f t="shared" si="7"/>
        <v>-0.15087954838832562</v>
      </c>
      <c r="I18" s="12">
        <f>2</f>
        <v>2</v>
      </c>
      <c r="J18" s="12">
        <f t="shared" si="8"/>
        <v>0.4384517844959932</v>
      </c>
      <c r="K18" s="12">
        <f t="shared" si="0"/>
        <v>2.3331828533895725E-2</v>
      </c>
      <c r="L18" s="12">
        <f t="shared" si="9"/>
        <v>7.5439774194162812E-2</v>
      </c>
      <c r="M18" s="7" t="str">
        <f t="shared" si="10"/>
        <v>no</v>
      </c>
    </row>
    <row r="19" spans="1:13" x14ac:dyDescent="0.35">
      <c r="A19" s="7">
        <v>4</v>
      </c>
      <c r="B19" s="12">
        <f t="shared" si="1"/>
        <v>0.72744472383843117</v>
      </c>
      <c r="C19" s="12">
        <f t="shared" si="2"/>
        <v>49</v>
      </c>
      <c r="D19" s="12">
        <f t="shared" si="3"/>
        <v>0.7593975673549066</v>
      </c>
      <c r="E19" s="12">
        <f t="shared" si="4"/>
        <v>-4.0905269847954173E-2</v>
      </c>
      <c r="F19" s="12">
        <f t="shared" si="5"/>
        <v>7</v>
      </c>
      <c r="G19" s="12">
        <f t="shared" si="6"/>
        <v>7.3641204874814292E-2</v>
      </c>
      <c r="H19" s="12">
        <f t="shared" si="7"/>
        <v>-8.6389844899224855E-2</v>
      </c>
      <c r="I19" s="12">
        <f>2</f>
        <v>2</v>
      </c>
      <c r="J19" s="12">
        <f t="shared" si="8"/>
        <v>0.48164670694560563</v>
      </c>
      <c r="K19" s="12">
        <f t="shared" si="0"/>
        <v>1.5946756657960373E-2</v>
      </c>
      <c r="L19" s="12">
        <f t="shared" si="9"/>
        <v>4.3194922449612427E-2</v>
      </c>
      <c r="M19" s="7" t="str">
        <f t="shared" si="10"/>
        <v>no</v>
      </c>
    </row>
    <row r="20" spans="1:13" x14ac:dyDescent="0.35">
      <c r="A20" s="7">
        <v>5</v>
      </c>
      <c r="B20" s="12">
        <f t="shared" si="1"/>
        <v>0.40754943675631949</v>
      </c>
      <c r="C20" s="12">
        <f t="shared" si="2"/>
        <v>49</v>
      </c>
      <c r="D20" s="12">
        <f t="shared" si="3"/>
        <v>0.75108023191090012</v>
      </c>
      <c r="E20" s="12">
        <f t="shared" si="4"/>
        <v>-2.0127270643280681E-2</v>
      </c>
      <c r="F20" s="12">
        <f t="shared" si="5"/>
        <v>7</v>
      </c>
      <c r="G20" s="12">
        <f t="shared" si="6"/>
        <v>7.6516529252425816E-2</v>
      </c>
      <c r="H20" s="12">
        <f t="shared" si="7"/>
        <v>-4.9595374975210937E-2</v>
      </c>
      <c r="I20" s="12">
        <f>2</f>
        <v>2</v>
      </c>
      <c r="J20" s="12">
        <f t="shared" si="8"/>
        <v>0.5064443944332111</v>
      </c>
      <c r="K20" s="12">
        <f t="shared" si="0"/>
        <v>1.3608032449500618E-2</v>
      </c>
      <c r="L20" s="12">
        <f t="shared" si="9"/>
        <v>2.4797687487605469E-2</v>
      </c>
      <c r="M20" s="7" t="str">
        <f t="shared" si="10"/>
        <v>no</v>
      </c>
    </row>
    <row r="21" spans="1:13" x14ac:dyDescent="0.35">
      <c r="A21" s="7">
        <v>6</v>
      </c>
      <c r="B21" s="12">
        <f t="shared" si="1"/>
        <v>0.22533965121024835</v>
      </c>
      <c r="C21" s="12">
        <f t="shared" si="2"/>
        <v>49</v>
      </c>
      <c r="D21" s="12">
        <f t="shared" si="3"/>
        <v>0.74648146351885425</v>
      </c>
      <c r="E21" s="12">
        <f t="shared" si="4"/>
        <v>-8.3847685940092731E-3</v>
      </c>
      <c r="F21" s="12">
        <f t="shared" si="5"/>
        <v>7</v>
      </c>
      <c r="G21" s="12">
        <f t="shared" si="6"/>
        <v>7.7714353337284284E-2</v>
      </c>
      <c r="H21" s="12">
        <f t="shared" si="7"/>
        <v>-2.8597906489745917E-2</v>
      </c>
      <c r="I21" s="12">
        <f>2</f>
        <v>2</v>
      </c>
      <c r="J21" s="12">
        <f t="shared" si="8"/>
        <v>0.52074334767808406</v>
      </c>
      <c r="K21" s="12">
        <f t="shared" si="0"/>
        <v>1.2880408213987463E-2</v>
      </c>
      <c r="L21" s="12">
        <f t="shared" si="9"/>
        <v>1.4298953244872958E-2</v>
      </c>
      <c r="M21" s="7" t="str">
        <f t="shared" si="10"/>
        <v>no</v>
      </c>
    </row>
    <row r="22" spans="1:13" x14ac:dyDescent="0.35">
      <c r="A22" s="7">
        <v>7</v>
      </c>
      <c r="B22" s="12">
        <f t="shared" si="1"/>
        <v>0.12165350624156446</v>
      </c>
      <c r="C22" s="12">
        <f t="shared" si="2"/>
        <v>49</v>
      </c>
      <c r="D22" s="12">
        <f t="shared" si="3"/>
        <v>0.74399873890167945</v>
      </c>
      <c r="E22" s="12">
        <f t="shared" si="4"/>
        <v>-1.7921833745262461E-3</v>
      </c>
      <c r="F22" s="12">
        <f t="shared" si="5"/>
        <v>7</v>
      </c>
      <c r="G22" s="12">
        <f t="shared" si="6"/>
        <v>7.7970379533645176E-2</v>
      </c>
      <c r="H22" s="12">
        <f t="shared" si="7"/>
        <v>-1.6610993731140944E-2</v>
      </c>
      <c r="I22" s="12">
        <f>2</f>
        <v>2</v>
      </c>
      <c r="J22" s="12">
        <f t="shared" si="8"/>
        <v>0.52904884454365453</v>
      </c>
      <c r="K22" s="12">
        <f t="shared" si="0"/>
        <v>1.26601814355014E-2</v>
      </c>
      <c r="L22" s="12">
        <f t="shared" si="9"/>
        <v>8.305496865570472E-3</v>
      </c>
      <c r="M22" s="7" t="str">
        <f t="shared" si="10"/>
        <v>no</v>
      </c>
    </row>
    <row r="23" spans="1:13" x14ac:dyDescent="0.35">
      <c r="A23" s="7">
        <v>8</v>
      </c>
      <c r="B23" s="12">
        <f t="shared" si="1"/>
        <v>6.2746949593488921E-2</v>
      </c>
      <c r="C23" s="12">
        <f t="shared" si="2"/>
        <v>49</v>
      </c>
      <c r="D23" s="12">
        <f t="shared" si="3"/>
        <v>0.74271818890997554</v>
      </c>
      <c r="E23" s="12">
        <f t="shared" si="4"/>
        <v>1.8665907460402309E-3</v>
      </c>
      <c r="F23" s="12">
        <f t="shared" si="5"/>
        <v>7</v>
      </c>
      <c r="G23" s="12">
        <f t="shared" si="6"/>
        <v>7.770372371278228E-2</v>
      </c>
      <c r="H23" s="12">
        <f t="shared" si="7"/>
        <v>-9.7638174045151516E-3</v>
      </c>
      <c r="I23" s="12">
        <f>2</f>
        <v>2</v>
      </c>
      <c r="J23" s="12">
        <f t="shared" si="8"/>
        <v>0.5339307532459121</v>
      </c>
      <c r="K23" s="12">
        <f t="shared" si="0"/>
        <v>1.259592423138969E-2</v>
      </c>
      <c r="L23" s="12">
        <f t="shared" si="9"/>
        <v>4.8819087022575758E-3</v>
      </c>
      <c r="M23" s="7" t="str">
        <f t="shared" si="10"/>
        <v>no</v>
      </c>
    </row>
    <row r="24" spans="1:13" x14ac:dyDescent="0.35">
      <c r="A24" s="7">
        <v>9</v>
      </c>
      <c r="B24" s="12">
        <f t="shared" si="1"/>
        <v>2.9373556140264157E-2</v>
      </c>
      <c r="C24" s="12">
        <f t="shared" si="2"/>
        <v>49</v>
      </c>
      <c r="D24" s="12">
        <f t="shared" si="3"/>
        <v>0.74211872858058237</v>
      </c>
      <c r="E24" s="12">
        <f t="shared" si="4"/>
        <v>3.8554401776949021E-3</v>
      </c>
      <c r="F24" s="12">
        <f t="shared" si="5"/>
        <v>7</v>
      </c>
      <c r="G24" s="12">
        <f t="shared" si="6"/>
        <v>7.7152946544540149E-2</v>
      </c>
      <c r="H24" s="12">
        <f t="shared" si="7"/>
        <v>-5.8485538104786627E-3</v>
      </c>
      <c r="I24" s="12">
        <f>2</f>
        <v>2</v>
      </c>
      <c r="J24" s="12">
        <f t="shared" si="8"/>
        <v>0.53685503015115144</v>
      </c>
      <c r="K24" s="12">
        <f t="shared" si="0"/>
        <v>1.2577506950939885E-2</v>
      </c>
      <c r="L24" s="12">
        <f t="shared" si="9"/>
        <v>2.9242769052393314E-3</v>
      </c>
      <c r="M24" s="7" t="str">
        <f t="shared" si="10"/>
        <v>no</v>
      </c>
    </row>
    <row r="25" spans="1:13" x14ac:dyDescent="0.35">
      <c r="A25" s="7">
        <v>10</v>
      </c>
      <c r="B25" s="12">
        <f t="shared" si="1"/>
        <v>1.0555949308319157E-2</v>
      </c>
      <c r="C25" s="12">
        <f t="shared" si="2"/>
        <v>49</v>
      </c>
      <c r="D25" s="12">
        <f t="shared" si="3"/>
        <v>0.74190330104367785</v>
      </c>
      <c r="E25" s="12">
        <f t="shared" si="4"/>
        <v>4.895135051436128E-3</v>
      </c>
      <c r="F25" s="12">
        <f t="shared" si="5"/>
        <v>7</v>
      </c>
      <c r="G25" s="12">
        <f t="shared" si="6"/>
        <v>7.6453641537192127E-2</v>
      </c>
      <c r="H25" s="12">
        <f t="shared" si="7"/>
        <v>-3.6059077803756168E-3</v>
      </c>
      <c r="I25" s="12">
        <f>2</f>
        <v>2</v>
      </c>
      <c r="J25" s="12">
        <f t="shared" si="8"/>
        <v>0.53865798404133924</v>
      </c>
      <c r="K25" s="12">
        <f t="shared" si="0"/>
        <v>1.2571407690903591E-2</v>
      </c>
      <c r="L25" s="12">
        <f t="shared" si="9"/>
        <v>1.8029538901878084E-3</v>
      </c>
      <c r="M25" s="7" t="str">
        <f t="shared" si="10"/>
        <v>no</v>
      </c>
    </row>
    <row r="26" spans="1:13" x14ac:dyDescent="0.35">
      <c r="A26" s="7">
        <v>11</v>
      </c>
      <c r="B26" s="12">
        <f t="shared" si="1"/>
        <v>3.3187099049314384E-5</v>
      </c>
      <c r="C26" s="12">
        <f t="shared" si="2"/>
        <v>49</v>
      </c>
      <c r="D26" s="12">
        <f t="shared" si="3"/>
        <v>0.74190262375594218</v>
      </c>
      <c r="E26" s="12">
        <f t="shared" si="4"/>
        <v>5.3966704913221974E-3</v>
      </c>
      <c r="F26" s="12">
        <f t="shared" si="5"/>
        <v>7</v>
      </c>
      <c r="G26" s="12">
        <f t="shared" si="6"/>
        <v>7.5682688609860382E-2</v>
      </c>
      <c r="H26" s="12">
        <f t="shared" si="7"/>
        <v>-2.3175997961457639E-3</v>
      </c>
      <c r="I26" s="12">
        <f>2</f>
        <v>2</v>
      </c>
      <c r="J26" s="12">
        <f t="shared" si="8"/>
        <v>0.53981678393941213</v>
      </c>
      <c r="K26" s="12">
        <f t="shared" si="0"/>
        <v>1.2567984573004641E-2</v>
      </c>
      <c r="L26" s="12">
        <f t="shared" si="9"/>
        <v>1.158799898072882E-3</v>
      </c>
      <c r="M26" s="7" t="str">
        <f t="shared" si="10"/>
        <v>no</v>
      </c>
    </row>
    <row r="27" spans="1:13" x14ac:dyDescent="0.35">
      <c r="A27" s="7">
        <v>12</v>
      </c>
      <c r="B27" s="12">
        <f t="shared" si="1"/>
        <v>-5.7655534054603663E-3</v>
      </c>
      <c r="C27" s="12">
        <f t="shared" si="2"/>
        <v>49</v>
      </c>
      <c r="D27" s="12">
        <f t="shared" si="3"/>
        <v>0.74202028811115561</v>
      </c>
      <c r="E27" s="12">
        <f t="shared" si="4"/>
        <v>5.5943580880608579E-3</v>
      </c>
      <c r="F27" s="12">
        <f t="shared" si="5"/>
        <v>7</v>
      </c>
      <c r="G27" s="12">
        <f t="shared" si="6"/>
        <v>7.4883494597280262E-2</v>
      </c>
      <c r="H27" s="12">
        <f t="shared" si="7"/>
        <v>-1.5739315512455221E-3</v>
      </c>
      <c r="I27" s="12">
        <f>2</f>
        <v>2</v>
      </c>
      <c r="J27" s="12">
        <f t="shared" si="8"/>
        <v>0.54060374971503489</v>
      </c>
      <c r="K27" s="12">
        <f t="shared" si="0"/>
        <v>1.2564790569066578E-2</v>
      </c>
      <c r="L27" s="12">
        <f t="shared" si="9"/>
        <v>7.9919401258012057E-4</v>
      </c>
      <c r="M27" s="7" t="str">
        <f t="shared" si="10"/>
        <v>no</v>
      </c>
    </row>
    <row r="28" spans="1:13" x14ac:dyDescent="0.35">
      <c r="A28" s="7">
        <v>13</v>
      </c>
      <c r="B28" s="12">
        <f t="shared" si="1"/>
        <v>-8.8767317970805948E-3</v>
      </c>
      <c r="C28" s="12">
        <f t="shared" si="2"/>
        <v>49</v>
      </c>
      <c r="D28" s="12">
        <f t="shared" si="3"/>
        <v>0.7422014459029328</v>
      </c>
      <c r="E28" s="12">
        <f t="shared" si="4"/>
        <v>5.6217375788563118E-3</v>
      </c>
      <c r="F28" s="12">
        <f t="shared" si="5"/>
        <v>7</v>
      </c>
      <c r="G28" s="12">
        <f t="shared" si="6"/>
        <v>7.4080389228872223E-2</v>
      </c>
      <c r="H28" s="12">
        <f t="shared" si="7"/>
        <v>-1.1412115627837949E-3</v>
      </c>
      <c r="I28" s="12">
        <f>2</f>
        <v>2</v>
      </c>
      <c r="J28" s="12">
        <f t="shared" si="8"/>
        <v>0.54117435549642678</v>
      </c>
      <c r="K28" s="12">
        <f t="shared" si="0"/>
        <v>1.2561403509728826E-2</v>
      </c>
      <c r="L28" s="12">
        <f t="shared" si="9"/>
        <v>8.0310536840803859E-4</v>
      </c>
      <c r="M28" s="7" t="str">
        <f t="shared" si="10"/>
        <v>no</v>
      </c>
    </row>
    <row r="29" spans="1:13" x14ac:dyDescent="0.35">
      <c r="A29" s="7">
        <v>14</v>
      </c>
      <c r="B29" s="12">
        <f t="shared" si="1"/>
        <v>-1.0461656161609767E-2</v>
      </c>
      <c r="C29" s="12">
        <f t="shared" si="2"/>
        <v>49</v>
      </c>
      <c r="D29" s="12">
        <f t="shared" si="3"/>
        <v>0.74241494908990446</v>
      </c>
      <c r="E29" s="12">
        <f t="shared" si="4"/>
        <v>5.5548747096665352E-3</v>
      </c>
      <c r="F29" s="12">
        <f t="shared" si="5"/>
        <v>7</v>
      </c>
      <c r="G29" s="12">
        <f t="shared" si="6"/>
        <v>7.3286835698919861E-2</v>
      </c>
      <c r="H29" s="12">
        <f t="shared" si="7"/>
        <v>-8.8613828105543746E-4</v>
      </c>
      <c r="I29" s="12">
        <f>2</f>
        <v>2</v>
      </c>
      <c r="J29" s="12">
        <f t="shared" si="8"/>
        <v>0.5416174246369545</v>
      </c>
      <c r="K29" s="12">
        <f t="shared" si="0"/>
        <v>1.2557886355782635E-2</v>
      </c>
      <c r="L29" s="12">
        <f t="shared" si="9"/>
        <v>7.9355352995236217E-4</v>
      </c>
      <c r="M29" s="7" t="str">
        <f t="shared" si="10"/>
        <v>no</v>
      </c>
    </row>
    <row r="30" spans="1:13" x14ac:dyDescent="0.35">
      <c r="A30" s="7">
        <v>15</v>
      </c>
      <c r="B30" s="12">
        <f t="shared" si="1"/>
        <v>-1.1182479555444047E-2</v>
      </c>
      <c r="C30" s="12">
        <f t="shared" si="2"/>
        <v>49</v>
      </c>
      <c r="D30" s="12">
        <f t="shared" si="3"/>
        <v>0.74264316295838295</v>
      </c>
      <c r="E30" s="12">
        <f t="shared" si="4"/>
        <v>5.4370570541948382E-3</v>
      </c>
      <c r="F30" s="12">
        <f t="shared" si="5"/>
        <v>7</v>
      </c>
      <c r="G30" s="12">
        <f t="shared" si="6"/>
        <v>7.2510113262606313E-2</v>
      </c>
      <c r="H30" s="12">
        <f t="shared" si="7"/>
        <v>-7.3267022959111472E-4</v>
      </c>
      <c r="I30" s="12">
        <f>2</f>
        <v>2</v>
      </c>
      <c r="J30" s="12">
        <f t="shared" si="8"/>
        <v>0.54198375975175006</v>
      </c>
      <c r="K30" s="12">
        <f t="shared" si="0"/>
        <v>1.2554364613806282E-2</v>
      </c>
      <c r="L30" s="12">
        <f t="shared" si="9"/>
        <v>7.7672243631354831E-4</v>
      </c>
      <c r="M30" s="7" t="str">
        <f t="shared" si="10"/>
        <v>no</v>
      </c>
    </row>
    <row r="31" spans="1:13" x14ac:dyDescent="0.35">
      <c r="A31" s="7">
        <v>16</v>
      </c>
      <c r="B31" s="12">
        <f t="shared" si="1"/>
        <v>-1.1416658050073636E-2</v>
      </c>
      <c r="C31" s="12">
        <f t="shared" si="2"/>
        <v>49</v>
      </c>
      <c r="D31" s="12">
        <f t="shared" si="3"/>
        <v>0.74287615597981305</v>
      </c>
      <c r="E31" s="12">
        <f t="shared" si="4"/>
        <v>5.292879730129485E-3</v>
      </c>
      <c r="F31" s="12">
        <f t="shared" si="5"/>
        <v>7</v>
      </c>
      <c r="G31" s="12">
        <f t="shared" si="6"/>
        <v>7.1753987586873527E-2</v>
      </c>
      <c r="H31" s="12">
        <f t="shared" si="7"/>
        <v>-6.3742587718795818E-4</v>
      </c>
      <c r="I31" s="12">
        <f>2</f>
        <v>2</v>
      </c>
      <c r="J31" s="12">
        <f t="shared" si="8"/>
        <v>0.54230247269034404</v>
      </c>
      <c r="K31" s="12">
        <f t="shared" si="0"/>
        <v>1.2550931993910963E-2</v>
      </c>
      <c r="L31" s="12">
        <f t="shared" si="9"/>
        <v>7.5612567573278555E-4</v>
      </c>
      <c r="M31" s="7" t="str">
        <f t="shared" si="10"/>
        <v>no</v>
      </c>
    </row>
    <row r="32" spans="1:13" x14ac:dyDescent="0.35">
      <c r="A32" s="7">
        <v>17</v>
      </c>
      <c r="B32" s="12">
        <f t="shared" si="1"/>
        <v>-1.1379271593028761E-2</v>
      </c>
      <c r="C32" s="12">
        <f t="shared" si="2"/>
        <v>49</v>
      </c>
      <c r="D32" s="12">
        <f t="shared" si="3"/>
        <v>0.74310838601232387</v>
      </c>
      <c r="E32" s="12">
        <f t="shared" si="4"/>
        <v>5.1362794009754964E-3</v>
      </c>
      <c r="F32" s="12">
        <f t="shared" si="5"/>
        <v>7</v>
      </c>
      <c r="G32" s="12">
        <f t="shared" si="6"/>
        <v>7.1020233386734175E-2</v>
      </c>
      <c r="H32" s="12">
        <f t="shared" si="7"/>
        <v>-5.7565237284240567E-4</v>
      </c>
      <c r="I32" s="12">
        <f>2</f>
        <v>2</v>
      </c>
      <c r="J32" s="12">
        <f t="shared" si="8"/>
        <v>0.54259029887676524</v>
      </c>
      <c r="K32" s="12">
        <f t="shared" si="0"/>
        <v>1.2547643462399631E-2</v>
      </c>
      <c r="L32" s="12">
        <f t="shared" si="9"/>
        <v>7.3375420013935266E-4</v>
      </c>
      <c r="M32" s="7" t="str">
        <f t="shared" si="10"/>
        <v>no</v>
      </c>
    </row>
    <row r="33" spans="1:13" x14ac:dyDescent="0.35">
      <c r="A33" s="7">
        <v>18</v>
      </c>
      <c r="B33" s="12">
        <f t="shared" si="1"/>
        <v>-1.1192792297556764E-2</v>
      </c>
      <c r="C33" s="12">
        <f t="shared" si="2"/>
        <v>49</v>
      </c>
      <c r="D33" s="12">
        <f t="shared" si="3"/>
        <v>0.74333681034492705</v>
      </c>
      <c r="E33" s="12">
        <f t="shared" si="4"/>
        <v>4.9751165461220381E-3</v>
      </c>
      <c r="F33" s="12">
        <f t="shared" si="5"/>
        <v>7</v>
      </c>
      <c r="G33" s="12">
        <f t="shared" si="6"/>
        <v>7.0309502451573885E-2</v>
      </c>
      <c r="H33" s="12">
        <f t="shared" si="7"/>
        <v>-5.332224772587324E-4</v>
      </c>
      <c r="I33" s="12">
        <f>2</f>
        <v>2</v>
      </c>
      <c r="J33" s="12">
        <f t="shared" si="8"/>
        <v>0.54285691011539461</v>
      </c>
      <c r="K33" s="12">
        <f t="shared" si="0"/>
        <v>1.2544526043174074E-2</v>
      </c>
      <c r="L33" s="12">
        <f t="shared" si="9"/>
        <v>7.1073093516028918E-4</v>
      </c>
      <c r="M33" s="7" t="str">
        <f t="shared" si="10"/>
        <v>no</v>
      </c>
    </row>
    <row r="34" spans="1:13" x14ac:dyDescent="0.35">
      <c r="A34" s="7">
        <v>19</v>
      </c>
      <c r="B34" s="12">
        <f t="shared" si="1"/>
        <v>-1.092687816247917E-2</v>
      </c>
      <c r="C34" s="12">
        <f t="shared" si="2"/>
        <v>49</v>
      </c>
      <c r="D34" s="12">
        <f t="shared" si="3"/>
        <v>0.743559807858447</v>
      </c>
      <c r="E34" s="12">
        <f t="shared" si="4"/>
        <v>4.8137889592467786E-3</v>
      </c>
      <c r="F34" s="12">
        <f t="shared" si="5"/>
        <v>7</v>
      </c>
      <c r="G34" s="12">
        <f t="shared" si="6"/>
        <v>6.9621818314538633E-2</v>
      </c>
      <c r="H34" s="12">
        <f t="shared" si="7"/>
        <v>-5.0206981646638837E-4</v>
      </c>
      <c r="I34" s="12">
        <f>2</f>
        <v>2</v>
      </c>
      <c r="J34" s="12">
        <f t="shared" si="8"/>
        <v>0.5431079450236278</v>
      </c>
      <c r="K34" s="12">
        <f t="shared" si="0"/>
        <v>1.254158950816543E-2</v>
      </c>
      <c r="L34" s="12">
        <f t="shared" si="9"/>
        <v>6.8768413703525211E-4</v>
      </c>
      <c r="M34" s="7" t="str">
        <f t="shared" si="10"/>
        <v>no</v>
      </c>
    </row>
    <row r="35" spans="1:13" x14ac:dyDescent="0.35">
      <c r="A35" s="7">
        <v>20</v>
      </c>
      <c r="B35" s="12">
        <f t="shared" si="1"/>
        <v>-1.0621070109003483E-2</v>
      </c>
      <c r="C35" s="12">
        <f t="shared" si="2"/>
        <v>49</v>
      </c>
      <c r="D35" s="12">
        <f t="shared" si="3"/>
        <v>0.74377656439128381</v>
      </c>
      <c r="E35" s="12">
        <f t="shared" si="4"/>
        <v>4.6547223157613615E-3</v>
      </c>
      <c r="F35" s="12">
        <f t="shared" si="5"/>
        <v>7</v>
      </c>
      <c r="G35" s="12">
        <f t="shared" si="6"/>
        <v>6.8956857983715578E-2</v>
      </c>
      <c r="H35" s="12">
        <f t="shared" si="7"/>
        <v>-4.7758526261088008E-4</v>
      </c>
      <c r="I35" s="12">
        <f>2</f>
        <v>2</v>
      </c>
      <c r="J35" s="12">
        <f t="shared" si="8"/>
        <v>0.54334673765493324</v>
      </c>
      <c r="K35" s="12">
        <f t="shared" si="0"/>
        <v>1.2538833790233244E-2</v>
      </c>
      <c r="L35" s="12">
        <f t="shared" si="9"/>
        <v>6.6496033082305561E-4</v>
      </c>
      <c r="M35" s="7" t="str">
        <f t="shared" si="10"/>
        <v>no</v>
      </c>
    </row>
    <row r="36" spans="1:13" x14ac:dyDescent="0.35">
      <c r="A36" s="7">
        <v>21</v>
      </c>
      <c r="B36" s="12">
        <f t="shared" si="1"/>
        <v>-1.029773753568719E-2</v>
      </c>
      <c r="C36" s="12">
        <f t="shared" si="2"/>
        <v>49</v>
      </c>
      <c r="D36" s="12">
        <f t="shared" si="3"/>
        <v>0.74398672230017537</v>
      </c>
      <c r="E36" s="12">
        <f t="shared" si="4"/>
        <v>4.4992202539653192E-3</v>
      </c>
      <c r="F36" s="12">
        <f t="shared" si="5"/>
        <v>7</v>
      </c>
      <c r="G36" s="12">
        <f t="shared" si="6"/>
        <v>6.8314112233149107E-2</v>
      </c>
      <c r="H36" s="12">
        <f t="shared" si="7"/>
        <v>-4.5713188945928351E-4</v>
      </c>
      <c r="I36" s="12">
        <f>2</f>
        <v>2</v>
      </c>
      <c r="J36" s="12">
        <f t="shared" si="8"/>
        <v>0.54357530359966288</v>
      </c>
      <c r="K36" s="12">
        <f t="shared" si="0"/>
        <v>1.2536253544999201E-2</v>
      </c>
      <c r="L36" s="12">
        <f t="shared" si="9"/>
        <v>6.4274575056647021E-4</v>
      </c>
      <c r="M36" s="7" t="str">
        <f t="shared" si="10"/>
        <v>no</v>
      </c>
    </row>
    <row r="37" spans="1:13" x14ac:dyDescent="0.35">
      <c r="A37" s="7">
        <v>22</v>
      </c>
      <c r="B37" s="12">
        <f t="shared" si="1"/>
        <v>-9.9694618970858073E-3</v>
      </c>
      <c r="C37" s="12">
        <f t="shared" si="2"/>
        <v>49</v>
      </c>
      <c r="D37" s="12">
        <f t="shared" si="3"/>
        <v>0.74419018070623832</v>
      </c>
      <c r="E37" s="12">
        <f t="shared" si="4"/>
        <v>4.3479491433213724E-3</v>
      </c>
      <c r="F37" s="12">
        <f t="shared" si="5"/>
        <v>7</v>
      </c>
      <c r="G37" s="12">
        <f t="shared" si="6"/>
        <v>6.7692976641246058E-2</v>
      </c>
      <c r="H37" s="12">
        <f t="shared" si="7"/>
        <v>-4.3919793326718803E-4</v>
      </c>
      <c r="I37" s="12">
        <f>2</f>
        <v>2</v>
      </c>
      <c r="J37" s="12">
        <f t="shared" si="8"/>
        <v>0.54379490256629648</v>
      </c>
      <c r="K37" s="12">
        <f t="shared" si="0"/>
        <v>1.2533840802897218E-2</v>
      </c>
      <c r="L37" s="12">
        <f t="shared" si="9"/>
        <v>6.2113559190304923E-4</v>
      </c>
      <c r="M37" s="7" t="str">
        <f t="shared" si="10"/>
        <v>no</v>
      </c>
    </row>
    <row r="38" spans="1:13" x14ac:dyDescent="0.35">
      <c r="A38" s="7">
        <v>23</v>
      </c>
      <c r="B38" s="12">
        <f t="shared" si="1"/>
        <v>-9.6432478878227812E-3</v>
      </c>
      <c r="C38" s="12">
        <f t="shared" si="2"/>
        <v>49</v>
      </c>
      <c r="D38" s="12">
        <f t="shared" si="3"/>
        <v>0.74438698168354078</v>
      </c>
      <c r="E38" s="12">
        <f t="shared" si="4"/>
        <v>4.201214491345695E-3</v>
      </c>
      <c r="F38" s="12">
        <f t="shared" si="5"/>
        <v>7</v>
      </c>
      <c r="G38" s="12">
        <f t="shared" si="6"/>
        <v>6.7092803142482393E-2</v>
      </c>
      <c r="H38" s="12">
        <f t="shared" si="7"/>
        <v>-4.2291365517499457E-4</v>
      </c>
      <c r="I38" s="12">
        <f>2</f>
        <v>2</v>
      </c>
      <c r="J38" s="12">
        <f t="shared" si="8"/>
        <v>0.54400635939388398</v>
      </c>
      <c r="K38" s="12">
        <f t="shared" si="0"/>
        <v>1.2531586459802799E-2</v>
      </c>
      <c r="L38" s="12">
        <f t="shared" si="9"/>
        <v>6.0017349876366477E-4</v>
      </c>
      <c r="M38" s="7" t="str">
        <f t="shared" si="10"/>
        <v>no</v>
      </c>
    </row>
    <row r="39" spans="1:13" x14ac:dyDescent="0.35">
      <c r="A39" s="7">
        <v>24</v>
      </c>
      <c r="B39" s="12">
        <f t="shared" si="1"/>
        <v>-9.3229251846267402E-3</v>
      </c>
      <c r="C39" s="12">
        <f t="shared" si="2"/>
        <v>49</v>
      </c>
      <c r="D39" s="12">
        <f t="shared" si="3"/>
        <v>0.74457724546281889</v>
      </c>
      <c r="E39" s="12">
        <f t="shared" si="4"/>
        <v>4.059118509768922E-3</v>
      </c>
      <c r="F39" s="12">
        <f t="shared" si="5"/>
        <v>7</v>
      </c>
      <c r="G39" s="12">
        <f t="shared" si="6"/>
        <v>6.6512929069658264E-2</v>
      </c>
      <c r="H39" s="12">
        <f t="shared" si="7"/>
        <v>-4.0777576352457601E-4</v>
      </c>
      <c r="I39" s="12">
        <f>2</f>
        <v>2</v>
      </c>
      <c r="J39" s="12">
        <f t="shared" si="8"/>
        <v>0.54421024727564626</v>
      </c>
      <c r="K39" s="12">
        <f t="shared" si="0"/>
        <v>1.2529481093253534E-2</v>
      </c>
      <c r="L39" s="12">
        <f t="shared" si="9"/>
        <v>5.7987407282412973E-4</v>
      </c>
      <c r="M39" s="7" t="str">
        <f t="shared" si="10"/>
        <v>no</v>
      </c>
    </row>
    <row r="40" spans="1:13" x14ac:dyDescent="0.35">
      <c r="A40" s="7">
        <v>25</v>
      </c>
      <c r="B40" s="12">
        <f t="shared" si="1"/>
        <v>-9.0105181385027322E-3</v>
      </c>
      <c r="C40" s="12">
        <f t="shared" si="2"/>
        <v>49</v>
      </c>
      <c r="D40" s="12">
        <f t="shared" si="3"/>
        <v>0.74476113358809448</v>
      </c>
      <c r="E40" s="12">
        <f t="shared" si="4"/>
        <v>3.9216499002474592E-3</v>
      </c>
      <c r="F40" s="12">
        <f t="shared" si="5"/>
        <v>7</v>
      </c>
      <c r="G40" s="12">
        <f t="shared" si="6"/>
        <v>6.5952693369622908E-2</v>
      </c>
      <c r="H40" s="12">
        <f t="shared" si="7"/>
        <v>-3.9349022317747284E-4</v>
      </c>
      <c r="I40" s="12">
        <f>2</f>
        <v>2</v>
      </c>
      <c r="J40" s="12">
        <f t="shared" si="8"/>
        <v>0.544406992387235</v>
      </c>
      <c r="K40" s="12">
        <f t="shared" si="0"/>
        <v>1.2527515396831843E-2</v>
      </c>
      <c r="L40" s="12">
        <f t="shared" si="9"/>
        <v>5.6023570003535528E-4</v>
      </c>
      <c r="M40" s="7" t="str">
        <f t="shared" si="10"/>
        <v>no</v>
      </c>
    </row>
    <row r="41" spans="1:13" x14ac:dyDescent="0.35">
      <c r="A41" s="7">
        <v>26</v>
      </c>
      <c r="B41" s="12">
        <f t="shared" si="1"/>
        <v>-8.7070268195148515E-3</v>
      </c>
      <c r="C41" s="12">
        <f t="shared" si="2"/>
        <v>49</v>
      </c>
      <c r="D41" s="12">
        <f t="shared" si="3"/>
        <v>0.7449388280129825</v>
      </c>
      <c r="E41" s="12">
        <f t="shared" si="4"/>
        <v>3.788734982748565E-3</v>
      </c>
      <c r="F41" s="12">
        <f t="shared" si="5"/>
        <v>7</v>
      </c>
      <c r="G41" s="12">
        <f t="shared" si="6"/>
        <v>6.5411445514944544E-2</v>
      </c>
      <c r="H41" s="12">
        <f t="shared" si="7"/>
        <v>-3.7988258981869194E-4</v>
      </c>
      <c r="I41" s="12">
        <f>2</f>
        <v>2</v>
      </c>
      <c r="J41" s="12">
        <f t="shared" si="8"/>
        <v>0.54459693368214435</v>
      </c>
      <c r="K41" s="12">
        <f t="shared" si="0"/>
        <v>1.2525680401734117E-2</v>
      </c>
      <c r="L41" s="12">
        <f t="shared" si="9"/>
        <v>5.4124785467836445E-4</v>
      </c>
      <c r="M41" s="7" t="str">
        <f t="shared" si="10"/>
        <v>no</v>
      </c>
    </row>
    <row r="42" spans="1:13" x14ac:dyDescent="0.35">
      <c r="A42" s="7">
        <v>27</v>
      </c>
      <c r="B42" s="12">
        <f t="shared" si="1"/>
        <v>-8.4128723198446664E-3</v>
      </c>
      <c r="C42" s="12">
        <f t="shared" si="2"/>
        <v>49</v>
      </c>
      <c r="D42" s="12">
        <f t="shared" si="3"/>
        <v>0.74511051928481609</v>
      </c>
      <c r="E42" s="12">
        <f t="shared" si="4"/>
        <v>3.6602667777358988E-3</v>
      </c>
      <c r="F42" s="12">
        <f t="shared" si="5"/>
        <v>7</v>
      </c>
      <c r="G42" s="12">
        <f t="shared" si="6"/>
        <v>6.4888550260982267E-2</v>
      </c>
      <c r="H42" s="12">
        <f t="shared" si="7"/>
        <v>-3.6684685905186143E-4</v>
      </c>
      <c r="I42" s="12">
        <f>2</f>
        <v>2</v>
      </c>
      <c r="J42" s="12">
        <f t="shared" si="8"/>
        <v>0.54478035711167028</v>
      </c>
      <c r="K42" s="12">
        <f t="shared" si="0"/>
        <v>1.2523967581142218E-2</v>
      </c>
      <c r="L42" s="12">
        <f t="shared" si="9"/>
        <v>5.2289525396227721E-4</v>
      </c>
      <c r="M42" s="7" t="str">
        <f t="shared" si="10"/>
        <v>no</v>
      </c>
    </row>
    <row r="43" spans="1:13" x14ac:dyDescent="0.35">
      <c r="A43" s="7">
        <v>28</v>
      </c>
      <c r="B43" s="12">
        <f t="shared" si="1"/>
        <v>-8.1281505646373375E-3</v>
      </c>
      <c r="C43" s="12">
        <f t="shared" si="2"/>
        <v>49</v>
      </c>
      <c r="D43" s="12">
        <f t="shared" si="3"/>
        <v>0.74527639990858419</v>
      </c>
      <c r="E43" s="12">
        <f t="shared" si="4"/>
        <v>3.5361215164009252E-3</v>
      </c>
      <c r="F43" s="12">
        <f t="shared" si="5"/>
        <v>7</v>
      </c>
      <c r="G43" s="12">
        <f t="shared" si="6"/>
        <v>6.4383390044353561E-2</v>
      </c>
      <c r="H43" s="12">
        <f t="shared" si="7"/>
        <v>-3.543162835093483E-4</v>
      </c>
      <c r="I43" s="12">
        <f>2</f>
        <v>2</v>
      </c>
      <c r="J43" s="12">
        <f t="shared" si="8"/>
        <v>0.54495751525342495</v>
      </c>
      <c r="K43" s="12">
        <f t="shared" si="0"/>
        <v>1.2522368890836577E-2</v>
      </c>
      <c r="L43" s="12">
        <f t="shared" si="9"/>
        <v>5.0516021662870558E-4</v>
      </c>
      <c r="M43" s="7" t="str">
        <f t="shared" si="10"/>
        <v>no</v>
      </c>
    </row>
    <row r="44" spans="1:13" x14ac:dyDescent="0.35">
      <c r="A44" s="7">
        <v>29</v>
      </c>
      <c r="B44" s="12">
        <f t="shared" si="1"/>
        <v>-7.8527769070291242E-3</v>
      </c>
      <c r="C44" s="12">
        <f t="shared" si="2"/>
        <v>49</v>
      </c>
      <c r="D44" s="12">
        <f t="shared" si="3"/>
        <v>0.74543666066178882</v>
      </c>
      <c r="E44" s="12">
        <f t="shared" si="4"/>
        <v>3.4161679829480818E-3</v>
      </c>
      <c r="F44" s="12">
        <f t="shared" si="5"/>
        <v>7</v>
      </c>
      <c r="G44" s="12">
        <f t="shared" si="6"/>
        <v>6.3895366046789553E-2</v>
      </c>
      <c r="H44" s="12">
        <f t="shared" si="7"/>
        <v>-3.4224672026006431E-4</v>
      </c>
      <c r="I44" s="12">
        <f>2</f>
        <v>2</v>
      </c>
      <c r="J44" s="12">
        <f t="shared" si="8"/>
        <v>0.54512863861355498</v>
      </c>
      <c r="K44" s="12">
        <f t="shared" si="0"/>
        <v>1.2520876775683552E-2</v>
      </c>
      <c r="L44" s="12">
        <f t="shared" si="9"/>
        <v>4.8802399756400772E-4</v>
      </c>
      <c r="M44" s="7" t="str">
        <f t="shared" si="10"/>
        <v>no</v>
      </c>
    </row>
    <row r="45" spans="1:13" x14ac:dyDescent="0.35">
      <c r="A45" s="7">
        <v>30</v>
      </c>
      <c r="B45" s="12">
        <f t="shared" si="1"/>
        <v>-7.5865684352507401E-3</v>
      </c>
      <c r="C45" s="12">
        <f t="shared" si="2"/>
        <v>49</v>
      </c>
      <c r="D45" s="12">
        <f t="shared" si="3"/>
        <v>0.74559148858903879</v>
      </c>
      <c r="E45" s="12">
        <f t="shared" si="4"/>
        <v>3.3002727708897339E-3</v>
      </c>
      <c r="F45" s="12">
        <f t="shared" si="5"/>
        <v>7</v>
      </c>
      <c r="G45" s="12">
        <f t="shared" si="6"/>
        <v>6.342389850809102E-2</v>
      </c>
      <c r="H45" s="12">
        <f t="shared" si="7"/>
        <v>-3.3060712534549452E-4</v>
      </c>
      <c r="I45" s="12">
        <f>2</f>
        <v>2</v>
      </c>
      <c r="J45" s="12">
        <f t="shared" si="8"/>
        <v>0.54529394217622773</v>
      </c>
      <c r="K45" s="12">
        <f t="shared" si="0"/>
        <v>1.2519484158342673E-2</v>
      </c>
      <c r="L45" s="12">
        <f t="shared" si="9"/>
        <v>4.7146753869853342E-4</v>
      </c>
      <c r="M45" s="7" t="str">
        <f t="shared" si="10"/>
        <v>no</v>
      </c>
    </row>
    <row r="46" spans="1:13" x14ac:dyDescent="0.35">
      <c r="A46" s="7">
        <v>31</v>
      </c>
      <c r="B46" s="12">
        <f t="shared" si="1"/>
        <v>-7.3292907578732525E-3</v>
      </c>
      <c r="C46" s="12">
        <f t="shared" si="2"/>
        <v>49</v>
      </c>
      <c r="D46" s="12">
        <f t="shared" si="3"/>
        <v>0.7457410659514444</v>
      </c>
      <c r="E46" s="12">
        <f t="shared" si="4"/>
        <v>3.1883032113189103E-3</v>
      </c>
      <c r="F46" s="12">
        <f t="shared" si="5"/>
        <v>7</v>
      </c>
      <c r="G46" s="12">
        <f t="shared" si="6"/>
        <v>6.2968426620759743E-2</v>
      </c>
      <c r="H46" s="12">
        <f t="shared" si="7"/>
        <v>-3.193741251541482E-4</v>
      </c>
      <c r="I46" s="12">
        <f>2</f>
        <v>2</v>
      </c>
      <c r="J46" s="12">
        <f t="shared" si="8"/>
        <v>0.5454536292388048</v>
      </c>
      <c r="K46" s="12">
        <f t="shared" si="0"/>
        <v>1.2518184419154279E-2</v>
      </c>
      <c r="L46" s="12">
        <f t="shared" si="9"/>
        <v>4.5547188733127686E-4</v>
      </c>
      <c r="M46" s="7" t="str">
        <f t="shared" si="10"/>
        <v>no</v>
      </c>
    </row>
    <row r="47" spans="1:13" x14ac:dyDescent="0.35">
      <c r="A47" s="7">
        <v>32</v>
      </c>
      <c r="B47" s="12">
        <f t="shared" si="1"/>
        <v>-7.0806845339106417E-3</v>
      </c>
      <c r="C47" s="12">
        <f t="shared" si="2"/>
        <v>49</v>
      </c>
      <c r="D47" s="12">
        <f t="shared" si="3"/>
        <v>0.74588556971744258</v>
      </c>
      <c r="E47" s="12">
        <f t="shared" si="4"/>
        <v>3.0801289756983152E-3</v>
      </c>
      <c r="F47" s="12">
        <f t="shared" si="5"/>
        <v>7</v>
      </c>
      <c r="G47" s="12">
        <f t="shared" si="6"/>
        <v>6.2528408195659982E-2</v>
      </c>
      <c r="H47" s="12">
        <f t="shared" si="7"/>
        <v>-3.0852891331267784E-4</v>
      </c>
      <c r="I47" s="12">
        <f>2</f>
        <v>2</v>
      </c>
      <c r="J47" s="12">
        <f t="shared" si="8"/>
        <v>0.54560789369546114</v>
      </c>
      <c r="K47" s="12">
        <f t="shared" si="0"/>
        <v>1.2516971372090712E-2</v>
      </c>
      <c r="L47" s="12">
        <f t="shared" si="9"/>
        <v>4.400184250997613E-4</v>
      </c>
      <c r="M47" s="7" t="str">
        <f t="shared" si="10"/>
        <v>no</v>
      </c>
    </row>
    <row r="48" spans="1:13" x14ac:dyDescent="0.35">
      <c r="A48" s="7">
        <v>33</v>
      </c>
      <c r="B48" s="12">
        <f t="shared" si="1"/>
        <v>-6.8404804552031351E-3</v>
      </c>
      <c r="C48" s="12">
        <f t="shared" si="2"/>
        <v>49</v>
      </c>
      <c r="D48" s="12">
        <f t="shared" si="3"/>
        <v>0.74602517135938551</v>
      </c>
      <c r="E48" s="12">
        <f t="shared" si="4"/>
        <v>2.9756229249429111E-3</v>
      </c>
      <c r="F48" s="12">
        <f t="shared" si="5"/>
        <v>7</v>
      </c>
      <c r="G48" s="12">
        <f t="shared" si="6"/>
        <v>6.2103319206382422E-2</v>
      </c>
      <c r="H48" s="12">
        <f t="shared" si="7"/>
        <v>-2.9805547423222833E-4</v>
      </c>
      <c r="I48" s="12">
        <f>2</f>
        <v>2</v>
      </c>
      <c r="J48" s="12">
        <f t="shared" si="8"/>
        <v>0.54575692143257726</v>
      </c>
      <c r="K48" s="12">
        <f t="shared" si="0"/>
        <v>1.2515839239401822E-2</v>
      </c>
      <c r="L48" s="12">
        <f t="shared" si="9"/>
        <v>4.2508898927755973E-4</v>
      </c>
      <c r="M48" s="7" t="str">
        <f t="shared" si="10"/>
        <v>no</v>
      </c>
    </row>
    <row r="49" spans="1:13" x14ac:dyDescent="0.35">
      <c r="A49" s="7">
        <v>34</v>
      </c>
      <c r="B49" s="12">
        <f t="shared" si="1"/>
        <v>-6.6084076471852882E-3</v>
      </c>
      <c r="C49" s="12">
        <f t="shared" si="2"/>
        <v>49</v>
      </c>
      <c r="D49" s="12">
        <f t="shared" si="3"/>
        <v>0.74616003682157295</v>
      </c>
      <c r="E49" s="12">
        <f t="shared" si="4"/>
        <v>2.8746615307220225E-3</v>
      </c>
      <c r="F49" s="12">
        <f t="shared" si="5"/>
        <v>7</v>
      </c>
      <c r="G49" s="12">
        <f t="shared" si="6"/>
        <v>6.1692653273422132E-2</v>
      </c>
      <c r="H49" s="12">
        <f t="shared" si="7"/>
        <v>-2.8793956356842898E-4</v>
      </c>
      <c r="I49" s="12">
        <f>2</f>
        <v>2</v>
      </c>
      <c r="J49" s="12">
        <f t="shared" si="8"/>
        <v>0.54590089121436147</v>
      </c>
      <c r="K49" s="12">
        <f t="shared" si="0"/>
        <v>1.2514782626348196E-2</v>
      </c>
      <c r="L49" s="12">
        <f t="shared" si="9"/>
        <v>4.1066593296028991E-4</v>
      </c>
      <c r="M49" s="7" t="str">
        <f t="shared" si="10"/>
        <v>no</v>
      </c>
    </row>
    <row r="50" spans="1:13" x14ac:dyDescent="0.35">
      <c r="A50" s="7">
        <v>35</v>
      </c>
      <c r="B50" s="12">
        <f t="shared" si="1"/>
        <v>-6.3841983207950648E-3</v>
      </c>
      <c r="C50" s="12">
        <f t="shared" si="2"/>
        <v>49</v>
      </c>
      <c r="D50" s="12">
        <f t="shared" si="3"/>
        <v>0.74629032658322181</v>
      </c>
      <c r="E50" s="12">
        <f t="shared" si="4"/>
        <v>2.7771250550330251E-3</v>
      </c>
      <c r="F50" s="12">
        <f t="shared" si="5"/>
        <v>7</v>
      </c>
      <c r="G50" s="12">
        <f t="shared" si="6"/>
        <v>6.1295921122703129E-2</v>
      </c>
      <c r="H50" s="12">
        <f t="shared" si="7"/>
        <v>-2.7816812061498553E-4</v>
      </c>
      <c r="I50" s="12">
        <f>2</f>
        <v>2</v>
      </c>
      <c r="J50" s="12">
        <f t="shared" si="8"/>
        <v>0.54603997527466896</v>
      </c>
      <c r="K50" s="12">
        <f t="shared" si="0"/>
        <v>1.2513796496735634E-2</v>
      </c>
      <c r="L50" s="12">
        <f t="shared" si="9"/>
        <v>3.9673215071900358E-4</v>
      </c>
      <c r="M50" s="7" t="str">
        <f t="shared" si="10"/>
        <v>no</v>
      </c>
    </row>
    <row r="51" spans="1:13" x14ac:dyDescent="0.35">
      <c r="A51" s="7">
        <v>36</v>
      </c>
      <c r="B51" s="12">
        <f t="shared" si="1"/>
        <v>-6.167590290793612E-3</v>
      </c>
      <c r="C51" s="12">
        <f t="shared" si="2"/>
        <v>49</v>
      </c>
      <c r="D51" s="12">
        <f t="shared" si="3"/>
        <v>0.7464161957728298</v>
      </c>
      <c r="E51" s="12">
        <f t="shared" si="4"/>
        <v>2.6828975938659738E-3</v>
      </c>
      <c r="F51" s="12">
        <f t="shared" si="5"/>
        <v>7</v>
      </c>
      <c r="G51" s="12">
        <f t="shared" si="6"/>
        <v>6.0912650037865133E-2</v>
      </c>
      <c r="H51" s="12">
        <f t="shared" si="7"/>
        <v>-2.6872892725826603E-4</v>
      </c>
      <c r="I51" s="12">
        <f>2</f>
        <v>2</v>
      </c>
      <c r="J51" s="12">
        <f t="shared" si="8"/>
        <v>0.5461743397382981</v>
      </c>
      <c r="K51" s="12">
        <f t="shared" si="0"/>
        <v>1.2512876149595061E-2</v>
      </c>
      <c r="L51" s="12">
        <f t="shared" si="9"/>
        <v>3.8327108483799527E-4</v>
      </c>
      <c r="M51" s="7" t="str">
        <f t="shared" si="10"/>
        <v>no</v>
      </c>
    </row>
    <row r="52" spans="1:13" x14ac:dyDescent="0.35">
      <c r="A52" s="7">
        <v>37</v>
      </c>
      <c r="B52" s="12">
        <f t="shared" si="1"/>
        <v>-5.9583282816788596E-3</v>
      </c>
      <c r="C52" s="12">
        <f t="shared" si="2"/>
        <v>49</v>
      </c>
      <c r="D52" s="12">
        <f t="shared" si="3"/>
        <v>0.74653779430919065</v>
      </c>
      <c r="E52" s="12">
        <f t="shared" si="4"/>
        <v>2.5918670453819459E-3</v>
      </c>
      <c r="F52" s="12">
        <f t="shared" si="5"/>
        <v>7</v>
      </c>
      <c r="G52" s="12">
        <f t="shared" si="6"/>
        <v>6.0542383317096285E-2</v>
      </c>
      <c r="H52" s="12">
        <f t="shared" si="7"/>
        <v>-2.5961040778099687E-4</v>
      </c>
      <c r="I52" s="12">
        <f>2</f>
        <v>2</v>
      </c>
      <c r="J52" s="12">
        <f t="shared" si="8"/>
        <v>0.5463041449421886</v>
      </c>
      <c r="K52" s="12">
        <f t="shared" si="0"/>
        <v>1.2512017197149219E-2</v>
      </c>
      <c r="L52" s="12">
        <f t="shared" si="9"/>
        <v>3.7026672076884842E-4</v>
      </c>
      <c r="M52" s="7" t="str">
        <f t="shared" si="10"/>
        <v>no</v>
      </c>
    </row>
    <row r="53" spans="1:13" x14ac:dyDescent="0.35">
      <c r="A53" s="7">
        <v>38</v>
      </c>
      <c r="B53" s="12">
        <f t="shared" si="1"/>
        <v>-5.7561645466037703E-3</v>
      </c>
      <c r="C53" s="12">
        <f t="shared" si="2"/>
        <v>49</v>
      </c>
      <c r="D53" s="12">
        <f t="shared" si="3"/>
        <v>0.74665526705503971</v>
      </c>
      <c r="E53" s="12">
        <f t="shared" si="4"/>
        <v>2.503925036954513E-3</v>
      </c>
      <c r="F53" s="12">
        <f t="shared" si="5"/>
        <v>7</v>
      </c>
      <c r="G53" s="12">
        <f t="shared" si="6"/>
        <v>6.0184679740388498E-2</v>
      </c>
      <c r="H53" s="12">
        <f t="shared" si="7"/>
        <v>-2.5080150917933253E-4</v>
      </c>
      <c r="I53" s="12">
        <f>2</f>
        <v>2</v>
      </c>
      <c r="J53" s="12">
        <f t="shared" si="8"/>
        <v>0.54642954569677826</v>
      </c>
      <c r="K53" s="12">
        <f t="shared" si="0"/>
        <v>1.2511215544101721E-2</v>
      </c>
      <c r="L53" s="12">
        <f t="shared" si="9"/>
        <v>3.5770357670778657E-4</v>
      </c>
      <c r="M53" s="7" t="str">
        <f t="shared" si="10"/>
        <v>no</v>
      </c>
    </row>
    <row r="54" spans="1:13" x14ac:dyDescent="0.35">
      <c r="A54" s="7">
        <v>39</v>
      </c>
      <c r="B54" s="12">
        <f t="shared" si="1"/>
        <v>-5.5608590986224726E-3</v>
      </c>
      <c r="C54" s="12">
        <f t="shared" si="2"/>
        <v>49</v>
      </c>
      <c r="D54" s="12">
        <f t="shared" si="3"/>
        <v>0.74676875397541975</v>
      </c>
      <c r="E54" s="12">
        <f t="shared" si="4"/>
        <v>2.4189668306107137E-3</v>
      </c>
      <c r="F54" s="12">
        <f t="shared" si="5"/>
        <v>7</v>
      </c>
      <c r="G54" s="12">
        <f t="shared" si="6"/>
        <v>5.9839113050301256E-2</v>
      </c>
      <c r="H54" s="12">
        <f t="shared" si="7"/>
        <v>-2.4229162760214251E-4</v>
      </c>
      <c r="I54" s="12">
        <f>2</f>
        <v>2</v>
      </c>
      <c r="J54" s="12">
        <f t="shared" si="8"/>
        <v>0.54655069151057933</v>
      </c>
      <c r="K54" s="12">
        <f t="shared" si="0"/>
        <v>1.2510467368226129E-2</v>
      </c>
      <c r="L54" s="12">
        <f t="shared" si="9"/>
        <v>3.4556669008724283E-4</v>
      </c>
      <c r="M54" s="7" t="str">
        <f t="shared" si="10"/>
        <v>no</v>
      </c>
    </row>
    <row r="55" spans="1:13" x14ac:dyDescent="0.35">
      <c r="A55" s="7">
        <v>40</v>
      </c>
      <c r="B55" s="12">
        <f t="shared" si="1"/>
        <v>-5.3721797249579595E-3</v>
      </c>
      <c r="C55" s="12">
        <f t="shared" si="2"/>
        <v>49</v>
      </c>
      <c r="D55" s="12">
        <f t="shared" si="3"/>
        <v>0.74687839029633729</v>
      </c>
      <c r="E55" s="12">
        <f t="shared" si="4"/>
        <v>2.3368912179186907E-3</v>
      </c>
      <c r="F55" s="12">
        <f t="shared" si="5"/>
        <v>7</v>
      </c>
      <c r="G55" s="12">
        <f t="shared" si="6"/>
        <v>5.950527144774144E-2</v>
      </c>
      <c r="H55" s="12">
        <f t="shared" si="7"/>
        <v>-2.3407056125623882E-4</v>
      </c>
      <c r="I55" s="12">
        <f>2</f>
        <v>2</v>
      </c>
      <c r="J55" s="12">
        <f t="shared" si="8"/>
        <v>0.54666772679120745</v>
      </c>
      <c r="K55" s="12">
        <f t="shared" si="0"/>
        <v>1.2509769102204483E-2</v>
      </c>
      <c r="L55" s="12">
        <f t="shared" si="9"/>
        <v>3.3384160255981593E-4</v>
      </c>
      <c r="M55" s="7" t="str">
        <f t="shared" si="10"/>
        <v>no</v>
      </c>
    </row>
    <row r="56" spans="1:13" x14ac:dyDescent="0.35">
      <c r="A56" s="7">
        <v>41</v>
      </c>
      <c r="B56" s="12">
        <f t="shared" si="1"/>
        <v>-5.1899018816712328E-3</v>
      </c>
      <c r="C56" s="12">
        <f t="shared" si="2"/>
        <v>49</v>
      </c>
      <c r="D56" s="12">
        <f t="shared" si="3"/>
        <v>0.74698430666126936</v>
      </c>
      <c r="E56" s="12">
        <f t="shared" si="4"/>
        <v>2.2576004106600323E-3</v>
      </c>
      <c r="F56" s="12">
        <f t="shared" si="5"/>
        <v>7</v>
      </c>
      <c r="G56" s="12">
        <f t="shared" si="6"/>
        <v>5.9182757103361433E-2</v>
      </c>
      <c r="H56" s="12">
        <f t="shared" si="7"/>
        <v>-2.2612847861491758E-4</v>
      </c>
      <c r="I56" s="12">
        <f>2</f>
        <v>2</v>
      </c>
      <c r="J56" s="12">
        <f t="shared" si="8"/>
        <v>0.54678079103051491</v>
      </c>
      <c r="K56" s="12">
        <f t="shared" si="0"/>
        <v>1.2509117416653243E-2</v>
      </c>
      <c r="L56" s="12">
        <f t="shared" si="9"/>
        <v>3.2251434438000659E-4</v>
      </c>
      <c r="M56" s="7" t="str">
        <f t="shared" si="10"/>
        <v>no</v>
      </c>
    </row>
    <row r="57" spans="1:13" x14ac:dyDescent="0.35">
      <c r="A57" s="7">
        <v>42</v>
      </c>
      <c r="B57" s="12">
        <f t="shared" si="1"/>
        <v>-5.0138085236852703E-3</v>
      </c>
      <c r="C57" s="12">
        <f t="shared" si="2"/>
        <v>49</v>
      </c>
      <c r="D57" s="12">
        <f t="shared" si="3"/>
        <v>0.74708662928420166</v>
      </c>
      <c r="E57" s="12">
        <f t="shared" si="4"/>
        <v>2.1809999307045302E-3</v>
      </c>
      <c r="F57" s="12">
        <f t="shared" si="5"/>
        <v>7</v>
      </c>
      <c r="G57" s="12">
        <f t="shared" si="6"/>
        <v>5.887118568468936E-2</v>
      </c>
      <c r="H57" s="12">
        <f t="shared" si="7"/>
        <v>-2.1845589549052136E-4</v>
      </c>
      <c r="I57" s="12">
        <f>2</f>
        <v>2</v>
      </c>
      <c r="J57" s="12">
        <f t="shared" si="8"/>
        <v>0.54689001897826017</v>
      </c>
      <c r="K57" s="12">
        <f t="shared" si="0"/>
        <v>1.2508509204267866E-2</v>
      </c>
      <c r="L57" s="12">
        <f t="shared" si="9"/>
        <v>3.1157141867207278E-4</v>
      </c>
      <c r="M57" s="7" t="str">
        <f t="shared" si="10"/>
        <v>no</v>
      </c>
    </row>
    <row r="58" spans="1:13" x14ac:dyDescent="0.35">
      <c r="A58" s="7">
        <v>43</v>
      </c>
      <c r="B58" s="12">
        <f t="shared" si="1"/>
        <v>-4.8436899018895474E-3</v>
      </c>
      <c r="C58" s="12">
        <f t="shared" si="2"/>
        <v>49</v>
      </c>
      <c r="D58" s="12">
        <f t="shared" si="3"/>
        <v>0.74718548009852592</v>
      </c>
      <c r="E58" s="12">
        <f t="shared" si="4"/>
        <v>2.1069985010733205E-3</v>
      </c>
      <c r="F58" s="12">
        <f t="shared" si="5"/>
        <v>7</v>
      </c>
      <c r="G58" s="12">
        <f t="shared" si="6"/>
        <v>5.8570185898821743E-2</v>
      </c>
      <c r="H58" s="12">
        <f t="shared" si="7"/>
        <v>-2.110436573330432E-4</v>
      </c>
      <c r="I58" s="12">
        <f>2</f>
        <v>2</v>
      </c>
      <c r="J58" s="12">
        <f t="shared" si="8"/>
        <v>0.54699554080692669</v>
      </c>
      <c r="K58" s="12">
        <f t="shared" si="0"/>
        <v>1.2507941565017163E-2</v>
      </c>
      <c r="L58" s="12">
        <f t="shared" si="9"/>
        <v>3.0099978586761722E-4</v>
      </c>
      <c r="M58" s="7" t="str">
        <f t="shared" si="10"/>
        <v>no</v>
      </c>
    </row>
    <row r="59" spans="1:13" x14ac:dyDescent="0.35">
      <c r="A59" s="7">
        <v>44</v>
      </c>
      <c r="B59" s="12">
        <f t="shared" si="1"/>
        <v>-4.6793433449536792E-3</v>
      </c>
      <c r="C59" s="12">
        <f t="shared" si="2"/>
        <v>49</v>
      </c>
      <c r="D59" s="12">
        <f t="shared" si="3"/>
        <v>0.74728097690148421</v>
      </c>
      <c r="E59" s="12">
        <f t="shared" si="4"/>
        <v>2.0355079392473385E-3</v>
      </c>
      <c r="F59" s="12">
        <f t="shared" si="5"/>
        <v>7</v>
      </c>
      <c r="G59" s="12">
        <f t="shared" si="6"/>
        <v>5.8279399050357839E-2</v>
      </c>
      <c r="H59" s="12">
        <f t="shared" si="7"/>
        <v>-2.0388292468354052E-4</v>
      </c>
      <c r="I59" s="12">
        <f>2</f>
        <v>2</v>
      </c>
      <c r="J59" s="12">
        <f t="shared" si="8"/>
        <v>0.54709748226926846</v>
      </c>
      <c r="K59" s="12">
        <f t="shared" si="0"/>
        <v>1.2507411792321425E-2</v>
      </c>
      <c r="L59" s="12">
        <f t="shared" si="9"/>
        <v>2.9078684846390451E-4</v>
      </c>
      <c r="M59" s="7" t="str">
        <f t="shared" si="10"/>
        <v>no</v>
      </c>
    </row>
    <row r="60" spans="1:13" x14ac:dyDescent="0.35">
      <c r="A60" s="7">
        <v>45</v>
      </c>
      <c r="B60" s="12">
        <f t="shared" si="1"/>
        <v>-4.5205730359541008E-3</v>
      </c>
      <c r="C60" s="12">
        <f t="shared" si="2"/>
        <v>49</v>
      </c>
      <c r="D60" s="12">
        <f t="shared" si="3"/>
        <v>0.74737323349405471</v>
      </c>
      <c r="E60" s="12">
        <f t="shared" si="4"/>
        <v>1.9664430532948529E-3</v>
      </c>
      <c r="F60" s="12">
        <f t="shared" si="5"/>
        <v>7</v>
      </c>
      <c r="G60" s="12">
        <f t="shared" si="6"/>
        <v>5.7998478614172858E-2</v>
      </c>
      <c r="H60" s="12">
        <f t="shared" si="7"/>
        <v>-1.9696516056200153E-4</v>
      </c>
      <c r="I60" s="12">
        <f>2</f>
        <v>2</v>
      </c>
      <c r="J60" s="12">
        <f t="shared" si="8"/>
        <v>0.54719596484954947</v>
      </c>
      <c r="K60" s="12">
        <f t="shared" si="0"/>
        <v>1.2506917360150305E-2</v>
      </c>
      <c r="L60" s="12">
        <f t="shared" si="9"/>
        <v>2.8092043618498097E-4</v>
      </c>
      <c r="M60" s="7" t="str">
        <f t="shared" si="10"/>
        <v>no</v>
      </c>
    </row>
    <row r="61" spans="1:13" x14ac:dyDescent="0.35">
      <c r="A61" s="7">
        <v>46</v>
      </c>
      <c r="B61" s="12">
        <f t="shared" si="1"/>
        <v>-4.3671897893560185E-3</v>
      </c>
      <c r="C61" s="12">
        <f t="shared" si="2"/>
        <v>49</v>
      </c>
      <c r="D61" s="12">
        <f t="shared" si="3"/>
        <v>0.7474623598162865</v>
      </c>
      <c r="E61" s="12">
        <f t="shared" si="4"/>
        <v>1.8997215410152535E-3</v>
      </c>
      <c r="F61" s="12">
        <f t="shared" si="5"/>
        <v>7</v>
      </c>
      <c r="G61" s="12">
        <f t="shared" si="6"/>
        <v>5.7727089822599248E-2</v>
      </c>
      <c r="H61" s="12">
        <f t="shared" si="7"/>
        <v>-1.9028211909777326E-4</v>
      </c>
      <c r="I61" s="12">
        <f>2</f>
        <v>2</v>
      </c>
      <c r="J61" s="12">
        <f t="shared" si="8"/>
        <v>0.54729110590909835</v>
      </c>
      <c r="K61" s="12">
        <f t="shared" si="0"/>
        <v>1.2506455910980168E-2</v>
      </c>
      <c r="L61" s="12">
        <f t="shared" si="9"/>
        <v>2.7138879157360962E-4</v>
      </c>
      <c r="M61" s="7" t="str">
        <f t="shared" si="10"/>
        <v>no</v>
      </c>
    </row>
    <row r="62" spans="1:13" x14ac:dyDescent="0.35">
      <c r="A62" s="7">
        <v>47</v>
      </c>
      <c r="B62" s="12">
        <f t="shared" si="1"/>
        <v>-4.2190108314841268E-3</v>
      </c>
      <c r="C62" s="12">
        <f t="shared" si="2"/>
        <v>49</v>
      </c>
      <c r="D62" s="12">
        <f t="shared" si="3"/>
        <v>0.74754846207815351</v>
      </c>
      <c r="E62" s="12">
        <f t="shared" si="4"/>
        <v>1.8352638922536357E-3</v>
      </c>
      <c r="F62" s="12">
        <f t="shared" si="5"/>
        <v>7</v>
      </c>
      <c r="G62" s="12">
        <f t="shared" si="6"/>
        <v>5.7464909266563016E-2</v>
      </c>
      <c r="H62" s="12">
        <f t="shared" si="7"/>
        <v>-1.8382583504017447E-4</v>
      </c>
      <c r="I62" s="12">
        <f>2</f>
        <v>2</v>
      </c>
      <c r="J62" s="12">
        <f t="shared" si="8"/>
        <v>0.54738301882661844</v>
      </c>
      <c r="K62" s="12">
        <f t="shared" si="0"/>
        <v>1.2506025244554205E-2</v>
      </c>
      <c r="L62" s="12">
        <f t="shared" si="9"/>
        <v>2.6218055603623169E-4</v>
      </c>
      <c r="M62" s="7" t="str">
        <f t="shared" si="10"/>
        <v>no</v>
      </c>
    </row>
    <row r="63" spans="1:13" x14ac:dyDescent="0.35">
      <c r="A63" s="7">
        <v>48</v>
      </c>
      <c r="B63" s="12">
        <f t="shared" si="1"/>
        <v>-4.0758595860097557E-3</v>
      </c>
      <c r="C63" s="12">
        <f t="shared" si="2"/>
        <v>49</v>
      </c>
      <c r="D63" s="12">
        <f t="shared" si="3"/>
        <v>0.74763164288603123</v>
      </c>
      <c r="E63" s="12">
        <f t="shared" si="4"/>
        <v>1.7729932943577609E-3</v>
      </c>
      <c r="F63" s="12">
        <f t="shared" si="5"/>
        <v>7</v>
      </c>
      <c r="G63" s="12">
        <f t="shared" si="6"/>
        <v>5.721162451022619E-2</v>
      </c>
      <c r="H63" s="12">
        <f t="shared" si="7"/>
        <v>-1.7758861386507618E-4</v>
      </c>
      <c r="I63" s="12">
        <f>2</f>
        <v>2</v>
      </c>
      <c r="J63" s="12">
        <f t="shared" si="8"/>
        <v>0.54747181313355098</v>
      </c>
      <c r="K63" s="12">
        <f t="shared" si="0"/>
        <v>1.2505623307391375E-2</v>
      </c>
      <c r="L63" s="12">
        <f t="shared" si="9"/>
        <v>2.5328475633682596E-4</v>
      </c>
      <c r="M63" s="7" t="str">
        <f t="shared" si="10"/>
        <v>no</v>
      </c>
    </row>
    <row r="64" spans="1:13" x14ac:dyDescent="0.35">
      <c r="A64" s="7">
        <v>49</v>
      </c>
      <c r="B64" s="12">
        <f t="shared" si="1"/>
        <v>-3.9375654655415815E-3</v>
      </c>
      <c r="C64" s="12">
        <f t="shared" si="2"/>
        <v>49</v>
      </c>
      <c r="D64" s="12">
        <f t="shared" si="3"/>
        <v>0.74771200136491989</v>
      </c>
      <c r="E64" s="12">
        <f t="shared" si="4"/>
        <v>1.7128355407933782E-3</v>
      </c>
      <c r="F64" s="12">
        <f t="shared" si="5"/>
        <v>7</v>
      </c>
      <c r="G64" s="12">
        <f t="shared" si="6"/>
        <v>5.6966933718684276E-2</v>
      </c>
      <c r="H64" s="12">
        <f t="shared" si="7"/>
        <v>-1.7156302240550758E-4</v>
      </c>
      <c r="I64" s="12">
        <f>2</f>
        <v>2</v>
      </c>
      <c r="J64" s="12">
        <f t="shared" si="8"/>
        <v>0.54755759464475373</v>
      </c>
      <c r="K64" s="12">
        <f t="shared" si="0"/>
        <v>1.2505248182995929E-2</v>
      </c>
      <c r="L64" s="12">
        <f t="shared" si="9"/>
        <v>2.4469079154191414E-4</v>
      </c>
      <c r="M64" s="7" t="str">
        <f t="shared" si="10"/>
        <v>no</v>
      </c>
    </row>
    <row r="65" spans="1:13" x14ac:dyDescent="0.35">
      <c r="A65" s="7">
        <v>50</v>
      </c>
      <c r="B65" s="12">
        <f t="shared" si="1"/>
        <v>-3.8039636693341095E-3</v>
      </c>
      <c r="C65" s="12">
        <f t="shared" si="2"/>
        <v>49</v>
      </c>
      <c r="D65" s="12">
        <f t="shared" si="3"/>
        <v>0.74778963327653891</v>
      </c>
      <c r="E65" s="12">
        <f t="shared" si="4"/>
        <v>1.6547189427509323E-3</v>
      </c>
      <c r="F65" s="12">
        <f t="shared" si="5"/>
        <v>7</v>
      </c>
      <c r="G65" s="12">
        <f t="shared" si="6"/>
        <v>5.6730545298291288E-2</v>
      </c>
      <c r="H65" s="12">
        <f t="shared" si="7"/>
        <v>-1.6574187984641497E-4</v>
      </c>
      <c r="I65" s="12">
        <f>2</f>
        <v>2</v>
      </c>
      <c r="J65" s="12">
        <f t="shared" si="8"/>
        <v>0.54764046558467694</v>
      </c>
      <c r="K65" s="12">
        <f t="shared" si="0"/>
        <v>1.2504898082719037E-2</v>
      </c>
      <c r="L65" s="12">
        <f t="shared" si="9"/>
        <v>2.3638842039298835E-4</v>
      </c>
      <c r="M65" s="7" t="str">
        <f t="shared" si="10"/>
        <v>no</v>
      </c>
    </row>
    <row r="66" spans="1:13" x14ac:dyDescent="0.35">
      <c r="A66" s="7">
        <v>51</v>
      </c>
      <c r="B66" s="12">
        <f t="shared" si="1"/>
        <v>-3.6748949876113102E-3</v>
      </c>
      <c r="C66" s="12">
        <f t="shared" si="2"/>
        <v>49</v>
      </c>
      <c r="D66" s="12">
        <f t="shared" si="3"/>
        <v>0.74786463113342894</v>
      </c>
      <c r="E66" s="12">
        <f t="shared" si="4"/>
        <v>1.5985742437898409E-3</v>
      </c>
      <c r="F66" s="12">
        <f t="shared" si="5"/>
        <v>7</v>
      </c>
      <c r="G66" s="12">
        <f t="shared" si="6"/>
        <v>5.6502177549178453E-2</v>
      </c>
      <c r="H66" s="12">
        <f t="shared" si="7"/>
        <v>-1.6011824910844297E-4</v>
      </c>
      <c r="I66" s="12">
        <f>2</f>
        <v>2</v>
      </c>
      <c r="J66" s="12">
        <f t="shared" si="8"/>
        <v>0.54772052470923116</v>
      </c>
      <c r="K66" s="12">
        <f t="shared" si="0"/>
        <v>1.2504571337230486E-2</v>
      </c>
      <c r="L66" s="12">
        <f t="shared" si="9"/>
        <v>2.2836774911283442E-4</v>
      </c>
      <c r="M66" s="7" t="str">
        <f t="shared" si="10"/>
        <v>no</v>
      </c>
    </row>
    <row r="67" spans="1:13" x14ac:dyDescent="0.35">
      <c r="A67" s="7">
        <v>52</v>
      </c>
      <c r="B67" s="12">
        <f t="shared" si="1"/>
        <v>-3.5502056121501369E-3</v>
      </c>
      <c r="C67" s="12">
        <f t="shared" si="2"/>
        <v>49</v>
      </c>
      <c r="D67" s="12">
        <f t="shared" si="3"/>
        <v>0.74793708430918715</v>
      </c>
      <c r="E67" s="12">
        <f t="shared" si="4"/>
        <v>1.5443345373125084E-3</v>
      </c>
      <c r="F67" s="12">
        <f t="shared" si="5"/>
        <v>7</v>
      </c>
      <c r="G67" s="12">
        <f t="shared" si="6"/>
        <v>5.628155832956238E-2</v>
      </c>
      <c r="H67" s="12">
        <f t="shared" si="7"/>
        <v>-1.5468542854080169E-4</v>
      </c>
      <c r="I67" s="12">
        <f>2</f>
        <v>2</v>
      </c>
      <c r="J67" s="12">
        <f t="shared" si="8"/>
        <v>0.54779786742350156</v>
      </c>
      <c r="K67" s="12">
        <f t="shared" si="0"/>
        <v>1.25042663885592E-2</v>
      </c>
      <c r="L67" s="12">
        <f t="shared" si="9"/>
        <v>2.2061921961607361E-4</v>
      </c>
      <c r="M67" s="7" t="str">
        <f t="shared" si="10"/>
        <v>no</v>
      </c>
    </row>
    <row r="68" spans="1:13" x14ac:dyDescent="0.35">
      <c r="A68" s="7">
        <v>53</v>
      </c>
      <c r="B68" s="12">
        <f t="shared" si="1"/>
        <v>-3.4297469531949787E-3</v>
      </c>
      <c r="C68" s="12">
        <f t="shared" si="2"/>
        <v>49</v>
      </c>
      <c r="D68" s="12">
        <f t="shared" si="3"/>
        <v>0.74800707914496667</v>
      </c>
      <c r="E68" s="12">
        <f t="shared" si="4"/>
        <v>1.491935186841431E-3</v>
      </c>
      <c r="F68" s="12">
        <f t="shared" si="5"/>
        <v>7</v>
      </c>
      <c r="G68" s="12">
        <f t="shared" si="6"/>
        <v>5.6068424731442176E-2</v>
      </c>
      <c r="H68" s="12">
        <f t="shared" si="7"/>
        <v>-1.4943694390368023E-4</v>
      </c>
      <c r="I68" s="12">
        <f>2</f>
        <v>2</v>
      </c>
      <c r="J68" s="12">
        <f t="shared" si="8"/>
        <v>0.5478725858954534</v>
      </c>
      <c r="K68" s="12">
        <f t="shared" si="0"/>
        <v>1.2503981782664542E-2</v>
      </c>
      <c r="L68" s="12">
        <f t="shared" si="9"/>
        <v>2.1313359812020344E-4</v>
      </c>
      <c r="M68" s="7" t="str">
        <f t="shared" si="10"/>
        <v>no</v>
      </c>
    </row>
    <row r="69" spans="1:13" x14ac:dyDescent="0.35">
      <c r="A69" s="7">
        <v>54</v>
      </c>
      <c r="B69" s="12">
        <f t="shared" si="1"/>
        <v>-3.3133754624969924E-3</v>
      </c>
      <c r="C69" s="12">
        <f t="shared" si="2"/>
        <v>49</v>
      </c>
      <c r="D69" s="12">
        <f t="shared" si="3"/>
        <v>0.74807469905236457</v>
      </c>
      <c r="E69" s="12">
        <f t="shared" si="4"/>
        <v>1.4413137490176808E-3</v>
      </c>
      <c r="F69" s="12">
        <f t="shared" si="5"/>
        <v>7</v>
      </c>
      <c r="G69" s="12">
        <f t="shared" si="6"/>
        <v>5.5862522767296793E-2</v>
      </c>
      <c r="H69" s="12">
        <f t="shared" si="7"/>
        <v>-1.4436654065086429E-4</v>
      </c>
      <c r="I69" s="12">
        <f>2</f>
        <v>2</v>
      </c>
      <c r="J69" s="12">
        <f t="shared" si="8"/>
        <v>0.54794476916577883</v>
      </c>
      <c r="K69" s="12">
        <f t="shared" si="0"/>
        <v>1.2503716162503137E-2</v>
      </c>
      <c r="L69" s="12">
        <f t="shared" si="9"/>
        <v>2.0590196414538298E-4</v>
      </c>
      <c r="M69" s="7" t="str">
        <f t="shared" si="10"/>
        <v>no</v>
      </c>
    </row>
    <row r="70" spans="1:13" x14ac:dyDescent="0.35">
      <c r="A70" s="7">
        <v>55</v>
      </c>
      <c r="B70" s="12">
        <f t="shared" si="1"/>
        <v>-3.2009524623433094E-3</v>
      </c>
      <c r="C70" s="12">
        <f t="shared" si="2"/>
        <v>49</v>
      </c>
      <c r="D70" s="12">
        <f t="shared" si="3"/>
        <v>0.74814002461282059</v>
      </c>
      <c r="E70" s="12">
        <f t="shared" si="4"/>
        <v>1.3924098991839884E-3</v>
      </c>
      <c r="F70" s="12">
        <f t="shared" si="5"/>
        <v>7</v>
      </c>
      <c r="G70" s="12">
        <f t="shared" si="6"/>
        <v>5.5663607067413363E-2</v>
      </c>
      <c r="H70" s="12">
        <f t="shared" si="7"/>
        <v>-1.3946817645837939E-4</v>
      </c>
      <c r="I70" s="12">
        <f>2</f>
        <v>2</v>
      </c>
      <c r="J70" s="12">
        <f t="shared" si="8"/>
        <v>0.54801450325400802</v>
      </c>
      <c r="K70" s="12">
        <f t="shared" si="0"/>
        <v>1.250346826155844E-2</v>
      </c>
      <c r="L70" s="12">
        <f t="shared" si="9"/>
        <v>1.9891569988342989E-4</v>
      </c>
      <c r="M70" s="7" t="str">
        <f t="shared" si="10"/>
        <v>no</v>
      </c>
    </row>
    <row r="71" spans="1:13" x14ac:dyDescent="0.35">
      <c r="A71" s="7">
        <v>56</v>
      </c>
      <c r="B71" s="12">
        <f t="shared" si="1"/>
        <v>-3.0923439802919006E-3</v>
      </c>
      <c r="C71" s="12">
        <f t="shared" si="2"/>
        <v>49</v>
      </c>
      <c r="D71" s="12">
        <f t="shared" si="3"/>
        <v>0.74820313367364288</v>
      </c>
      <c r="E71" s="12">
        <f t="shared" si="4"/>
        <v>1.3451653594902524E-3</v>
      </c>
      <c r="F71" s="12">
        <f t="shared" si="5"/>
        <v>7</v>
      </c>
      <c r="G71" s="12">
        <f t="shared" si="6"/>
        <v>5.5471440587486182E-2</v>
      </c>
      <c r="H71" s="12">
        <f t="shared" si="7"/>
        <v>-1.3473601402491653E-4</v>
      </c>
      <c r="I71" s="12">
        <f>2</f>
        <v>2</v>
      </c>
      <c r="J71" s="12">
        <f t="shared" si="8"/>
        <v>0.54808187126102048</v>
      </c>
      <c r="K71" s="12">
        <f t="shared" si="0"/>
        <v>1.2503236897801832E-2</v>
      </c>
      <c r="L71" s="12">
        <f t="shared" si="9"/>
        <v>1.9216647992718189E-4</v>
      </c>
      <c r="M71" s="7" t="str">
        <f t="shared" si="10"/>
        <v>no</v>
      </c>
    </row>
    <row r="72" spans="1:13" x14ac:dyDescent="0.35">
      <c r="A72" s="7">
        <v>57</v>
      </c>
      <c r="B72" s="12">
        <f t="shared" si="1"/>
        <v>-2.9874205896049943E-3</v>
      </c>
      <c r="C72" s="12">
        <f t="shared" si="2"/>
        <v>49</v>
      </c>
      <c r="D72" s="12">
        <f t="shared" si="3"/>
        <v>0.74826410144077771</v>
      </c>
      <c r="E72" s="12">
        <f t="shared" si="4"/>
        <v>1.2995238294628564E-3</v>
      </c>
      <c r="F72" s="12">
        <f t="shared" si="5"/>
        <v>7</v>
      </c>
      <c r="G72" s="12">
        <f t="shared" si="6"/>
        <v>5.5285794326134348E-2</v>
      </c>
      <c r="H72" s="12">
        <f t="shared" si="7"/>
        <v>-1.3016441411206614E-4</v>
      </c>
      <c r="I72" s="12">
        <f>2</f>
        <v>2</v>
      </c>
      <c r="J72" s="12">
        <f t="shared" si="8"/>
        <v>0.54814695346807651</v>
      </c>
      <c r="K72" s="12">
        <f t="shared" si="0"/>
        <v>1.2503020968056573E-2</v>
      </c>
      <c r="L72" s="12">
        <f t="shared" si="9"/>
        <v>1.8564626135183365E-4</v>
      </c>
      <c r="M72" s="7" t="str">
        <f t="shared" si="10"/>
        <v>no</v>
      </c>
    </row>
    <row r="73" spans="1:13" x14ac:dyDescent="0.35">
      <c r="A73" s="7">
        <v>58</v>
      </c>
      <c r="B73" s="12">
        <f t="shared" si="1"/>
        <v>-2.8860572549334051E-3</v>
      </c>
      <c r="C73" s="12">
        <f t="shared" si="2"/>
        <v>49</v>
      </c>
      <c r="D73" s="12">
        <f t="shared" si="3"/>
        <v>0.74832300056842938</v>
      </c>
      <c r="E73" s="12">
        <f t="shared" si="4"/>
        <v>1.2554309188992363E-3</v>
      </c>
      <c r="F73" s="12">
        <f t="shared" si="5"/>
        <v>7</v>
      </c>
      <c r="G73" s="12">
        <f t="shared" si="6"/>
        <v>5.5106447052005889E-2</v>
      </c>
      <c r="H73" s="12">
        <f t="shared" si="7"/>
        <v>-1.2574792882436014E-4</v>
      </c>
      <c r="I73" s="12">
        <f>2</f>
        <v>2</v>
      </c>
      <c r="J73" s="12">
        <f t="shared" si="8"/>
        <v>0.54820982743248869</v>
      </c>
      <c r="K73" s="12">
        <f t="shared" si="0"/>
        <v>1.250281944273721E-2</v>
      </c>
      <c r="L73" s="12">
        <f t="shared" si="9"/>
        <v>1.7934727412845936E-4</v>
      </c>
      <c r="M73" s="7" t="str">
        <f t="shared" si="10"/>
        <v>no</v>
      </c>
    </row>
    <row r="74" spans="1:13" x14ac:dyDescent="0.35">
      <c r="A74" s="7">
        <v>59</v>
      </c>
      <c r="B74" s="12">
        <f t="shared" si="1"/>
        <v>-2.7881331834365142E-3</v>
      </c>
      <c r="C74" s="12">
        <f t="shared" si="2"/>
        <v>49</v>
      </c>
      <c r="D74" s="12">
        <f t="shared" si="3"/>
        <v>0.74837990124564235</v>
      </c>
      <c r="E74" s="12">
        <f t="shared" si="4"/>
        <v>1.2128340830699358E-3</v>
      </c>
      <c r="F74" s="12">
        <f t="shared" si="5"/>
        <v>7</v>
      </c>
      <c r="G74" s="12">
        <f t="shared" si="6"/>
        <v>5.4933185040138756E-2</v>
      </c>
      <c r="H74" s="12">
        <f t="shared" si="7"/>
        <v>-1.2148129510958228E-4</v>
      </c>
      <c r="I74" s="12">
        <f>2</f>
        <v>2</v>
      </c>
      <c r="J74" s="12">
        <f t="shared" si="8"/>
        <v>0.54827056808004349</v>
      </c>
      <c r="K74" s="12">
        <f t="shared" si="0"/>
        <v>1.2502631360941133E-2</v>
      </c>
      <c r="L74" s="12">
        <f t="shared" si="9"/>
        <v>1.7326201186713269E-4</v>
      </c>
      <c r="M74" s="7" t="str">
        <f t="shared" si="10"/>
        <v>no</v>
      </c>
    </row>
    <row r="75" spans="1:13" x14ac:dyDescent="0.35">
      <c r="A75" s="7">
        <v>60</v>
      </c>
      <c r="B75" s="12">
        <f t="shared" si="1"/>
        <v>-2.693531680726835E-3</v>
      </c>
      <c r="C75" s="12">
        <f t="shared" si="2"/>
        <v>49</v>
      </c>
      <c r="D75" s="12">
        <f t="shared" si="3"/>
        <v>0.7484348712799429</v>
      </c>
      <c r="E75" s="12">
        <f t="shared" si="4"/>
        <v>1.1716825600736058E-3</v>
      </c>
      <c r="F75" s="12">
        <f t="shared" si="5"/>
        <v>7</v>
      </c>
      <c r="G75" s="12">
        <f t="shared" si="6"/>
        <v>5.4765801817271101E-2</v>
      </c>
      <c r="H75" s="12">
        <f t="shared" si="7"/>
        <v>-1.1735942849977476E-4</v>
      </c>
      <c r="I75" s="12">
        <f>2</f>
        <v>2</v>
      </c>
      <c r="J75" s="12">
        <f t="shared" si="8"/>
        <v>0.54832924779429337</v>
      </c>
      <c r="K75" s="12">
        <f t="shared" si="0"/>
        <v>1.2502455825866336E-2</v>
      </c>
      <c r="L75" s="12">
        <f t="shared" si="9"/>
        <v>1.67383222867655E-4</v>
      </c>
      <c r="M75" s="7" t="str">
        <f t="shared" si="10"/>
        <v>no</v>
      </c>
    </row>
    <row r="76" spans="1:13" x14ac:dyDescent="0.35">
      <c r="A76" s="7">
        <v>61</v>
      </c>
      <c r="B76" s="12">
        <f t="shared" si="1"/>
        <v>-2.6021400118665383E-3</v>
      </c>
      <c r="C76" s="12">
        <f t="shared" si="2"/>
        <v>49</v>
      </c>
      <c r="D76" s="12">
        <f t="shared" si="3"/>
        <v>0.74848797617814422</v>
      </c>
      <c r="E76" s="12">
        <f t="shared" si="4"/>
        <v>1.131927310375147E-3</v>
      </c>
      <c r="F76" s="12">
        <f t="shared" si="5"/>
        <v>7</v>
      </c>
      <c r="G76" s="12">
        <f t="shared" si="6"/>
        <v>5.4604097915788935E-2</v>
      </c>
      <c r="H76" s="12">
        <f t="shared" si="7"/>
        <v>-1.1337741703698612E-4</v>
      </c>
      <c r="I76" s="12">
        <f>2</f>
        <v>2</v>
      </c>
      <c r="J76" s="12">
        <f t="shared" si="8"/>
        <v>0.54838593650281187</v>
      </c>
      <c r="K76" s="12">
        <f t="shared" si="0"/>
        <v>1.2502292000535259E-2</v>
      </c>
      <c r="L76" s="12">
        <f t="shared" si="9"/>
        <v>1.6170390148216585E-4</v>
      </c>
      <c r="M76" s="7" t="str">
        <f t="shared" si="10"/>
        <v>no</v>
      </c>
    </row>
    <row r="77" spans="1:13" x14ac:dyDescent="0.35">
      <c r="A77" s="7">
        <v>62</v>
      </c>
      <c r="B77" s="12">
        <f t="shared" si="1"/>
        <v>-2.513849267046453E-3</v>
      </c>
      <c r="C77" s="12">
        <f t="shared" si="2"/>
        <v>49</v>
      </c>
      <c r="D77" s="12">
        <f t="shared" si="3"/>
        <v>0.74853927922441044</v>
      </c>
      <c r="E77" s="12">
        <f t="shared" si="4"/>
        <v>1.0935209583458061E-3</v>
      </c>
      <c r="F77" s="12">
        <f t="shared" si="5"/>
        <v>7</v>
      </c>
      <c r="G77" s="12">
        <f t="shared" si="6"/>
        <v>5.444788063602525E-2</v>
      </c>
      <c r="H77" s="12">
        <f t="shared" si="7"/>
        <v>-1.0953051542816894E-4</v>
      </c>
      <c r="I77" s="12">
        <f>2</f>
        <v>2</v>
      </c>
      <c r="J77" s="12">
        <f t="shared" si="8"/>
        <v>0.54844070176052595</v>
      </c>
      <c r="K77" s="12">
        <f t="shared" si="0"/>
        <v>1.250213910380448E-2</v>
      </c>
      <c r="L77" s="12">
        <f t="shared" si="9"/>
        <v>1.562172797636846E-4</v>
      </c>
      <c r="M77" s="7" t="str">
        <f t="shared" si="10"/>
        <v>no</v>
      </c>
    </row>
    <row r="78" spans="1:13" x14ac:dyDescent="0.35">
      <c r="A78" s="7">
        <v>63</v>
      </c>
      <c r="B78" s="12">
        <f t="shared" si="1"/>
        <v>-2.428554231748592E-3</v>
      </c>
      <c r="C78" s="12">
        <f t="shared" si="2"/>
        <v>49</v>
      </c>
      <c r="D78" s="12">
        <f t="shared" si="3"/>
        <v>0.74858884155567063</v>
      </c>
      <c r="E78" s="12">
        <f t="shared" si="4"/>
        <v>1.0564177358247662E-3</v>
      </c>
      <c r="F78" s="12">
        <f t="shared" si="5"/>
        <v>7</v>
      </c>
      <c r="G78" s="12">
        <f t="shared" si="6"/>
        <v>5.4296963816621711E-2</v>
      </c>
      <c r="H78" s="12">
        <f t="shared" si="7"/>
        <v>-1.0581413938837159E-4</v>
      </c>
      <c r="I78" s="12">
        <f>2</f>
        <v>2</v>
      </c>
      <c r="J78" s="12">
        <f t="shared" si="8"/>
        <v>0.54849360883022014</v>
      </c>
      <c r="K78" s="12">
        <f t="shared" si="0"/>
        <v>1.2501996406639479E-2</v>
      </c>
      <c r="L78" s="12">
        <f t="shared" si="9"/>
        <v>1.5091681940353902E-4</v>
      </c>
      <c r="M78" s="7" t="str">
        <f t="shared" si="10"/>
        <v>no</v>
      </c>
    </row>
    <row r="79" spans="1:13" x14ac:dyDescent="0.35">
      <c r="A79" s="7">
        <v>64</v>
      </c>
      <c r="B79" s="12">
        <f t="shared" si="1"/>
        <v>-2.346153261406414E-3</v>
      </c>
      <c r="C79" s="12">
        <f t="shared" si="2"/>
        <v>49</v>
      </c>
      <c r="D79" s="12">
        <f t="shared" si="3"/>
        <v>0.74863672223447486</v>
      </c>
      <c r="E79" s="12">
        <f t="shared" si="4"/>
        <v>1.020573427560123E-3</v>
      </c>
      <c r="F79" s="12">
        <f t="shared" si="5"/>
        <v>7</v>
      </c>
      <c r="G79" s="12">
        <f t="shared" si="6"/>
        <v>5.4151167612684549E-2</v>
      </c>
      <c r="H79" s="12">
        <f t="shared" si="7"/>
        <v>-1.0222386018199359E-4</v>
      </c>
      <c r="I79" s="12">
        <f>2</f>
        <v>2</v>
      </c>
      <c r="J79" s="12">
        <f t="shared" si="8"/>
        <v>0.54854472076031113</v>
      </c>
      <c r="K79" s="12">
        <f t="shared" ref="K79:K142" si="11">SUMPRODUCT((D79*$B$6:$B$9^2+G79*$B$6:$B$9+J79-$C$6:$C$9)^2)/$F$5</f>
        <v>1.2501863228638868E-2</v>
      </c>
      <c r="L79" s="12">
        <f t="shared" si="9"/>
        <v>1.4579620393716242E-4</v>
      </c>
      <c r="M79" s="7" t="str">
        <f t="shared" si="10"/>
        <v>no</v>
      </c>
    </row>
    <row r="80" spans="1:13" x14ac:dyDescent="0.35">
      <c r="A80" s="7">
        <v>65</v>
      </c>
      <c r="B80" s="12">
        <f t="shared" ref="B80:B143" si="12">2/$F$5*($F$9*D79+$F$8*G79+$F$7*J79-$F$12)</f>
        <v>-2.2665481602288651E-3</v>
      </c>
      <c r="C80" s="12">
        <f t="shared" ref="C80:C143" si="13">2/$F$5*$F$9</f>
        <v>49</v>
      </c>
      <c r="D80" s="12">
        <f t="shared" ref="D80:D143" si="14">IF(M79="yes",D79,D79-B80/C80)</f>
        <v>0.74868297831937747</v>
      </c>
      <c r="E80" s="12">
        <f t="shared" ref="E80:E143" si="15">2/$F$5*($F$8*D80+$F$7*G79+$F$6*J79-$F$11)</f>
        <v>9.8594531851858846E-4</v>
      </c>
      <c r="F80" s="12">
        <f t="shared" ref="F80:F143" si="16">2/$F$5*$F$7</f>
        <v>7</v>
      </c>
      <c r="G80" s="12">
        <f t="shared" ref="G80:G143" si="17">IF(M79="yes",G79,G79-E80/F80)</f>
        <v>5.4010318281467608E-2</v>
      </c>
      <c r="H80" s="12">
        <f t="shared" ref="H80:H143" si="18">2/$F$5*($F$7*D80+$F$6*G80+$F$5*J79-$F$10)</f>
        <v>-9.8755399331906801E-5</v>
      </c>
      <c r="I80" s="12">
        <f>2</f>
        <v>2</v>
      </c>
      <c r="J80" s="12">
        <f t="shared" ref="J80:J143" si="19">IF(M79="yes",J79,J79-H80/I80)</f>
        <v>0.54859409845997709</v>
      </c>
      <c r="K80" s="12">
        <f t="shared" si="11"/>
        <v>1.250173893479023E-2</v>
      </c>
      <c r="L80" s="12">
        <f t="shared" ref="L80:L143" si="20">MAX(ABS(D80-D79),ABS(G80-G79),ABS(J80-J79))</f>
        <v>1.4084933121694121E-4</v>
      </c>
      <c r="M80" s="7" t="str">
        <f t="shared" ref="M80:M143" si="21">IF(OR(M79="yes",L80&lt;$I$5),"yes","no")</f>
        <v>no</v>
      </c>
    </row>
    <row r="81" spans="1:13" x14ac:dyDescent="0.35">
      <c r="A81" s="7">
        <v>66</v>
      </c>
      <c r="B81" s="12">
        <f t="shared" si="12"/>
        <v>-2.1896440642450443E-3</v>
      </c>
      <c r="C81" s="12">
        <f t="shared" si="13"/>
        <v>49</v>
      </c>
      <c r="D81" s="12">
        <f t="shared" si="14"/>
        <v>0.74872766493293352</v>
      </c>
      <c r="E81" s="12">
        <f t="shared" si="15"/>
        <v>9.5249214300707763E-4</v>
      </c>
      <c r="F81" s="12">
        <f t="shared" si="16"/>
        <v>7</v>
      </c>
      <c r="G81" s="12">
        <f t="shared" si="17"/>
        <v>5.3874247975323739E-2</v>
      </c>
      <c r="H81" s="12">
        <f t="shared" si="18"/>
        <v>-9.540462353996304E-5</v>
      </c>
      <c r="I81" s="12">
        <f>2</f>
        <v>2</v>
      </c>
      <c r="J81" s="12">
        <f t="shared" si="19"/>
        <v>0.54864180077174707</v>
      </c>
      <c r="K81" s="12">
        <f t="shared" si="11"/>
        <v>1.2501622932441919E-2</v>
      </c>
      <c r="L81" s="12">
        <f t="shared" si="20"/>
        <v>1.3607030614386922E-4</v>
      </c>
      <c r="M81" s="7" t="str">
        <f t="shared" si="21"/>
        <v>no</v>
      </c>
    </row>
    <row r="82" spans="1:13" x14ac:dyDescent="0.35">
      <c r="A82" s="7">
        <v>67</v>
      </c>
      <c r="B82" s="12">
        <f t="shared" si="12"/>
        <v>-2.1153493282000113E-3</v>
      </c>
      <c r="C82" s="12">
        <f t="shared" si="13"/>
        <v>49</v>
      </c>
      <c r="D82" s="12">
        <f t="shared" si="14"/>
        <v>0.74877083532738653</v>
      </c>
      <c r="E82" s="12">
        <f t="shared" si="15"/>
        <v>9.2017403546407195E-4</v>
      </c>
      <c r="F82" s="12">
        <f t="shared" si="16"/>
        <v>7</v>
      </c>
      <c r="G82" s="12">
        <f t="shared" si="17"/>
        <v>5.3742794541686012E-2</v>
      </c>
      <c r="H82" s="12">
        <f t="shared" si="18"/>
        <v>-9.2167539741616622E-5</v>
      </c>
      <c r="I82" s="12">
        <f>2</f>
        <v>2</v>
      </c>
      <c r="J82" s="12">
        <f t="shared" si="19"/>
        <v>0.54868788454161788</v>
      </c>
      <c r="K82" s="12">
        <f t="shared" si="11"/>
        <v>1.2501514668477317E-2</v>
      </c>
      <c r="L82" s="12">
        <f t="shared" si="20"/>
        <v>1.3145343363772655E-4</v>
      </c>
      <c r="M82" s="7" t="str">
        <f t="shared" si="21"/>
        <v>no</v>
      </c>
    </row>
    <row r="83" spans="1:13" x14ac:dyDescent="0.35">
      <c r="A83" s="7">
        <v>68</v>
      </c>
      <c r="B83" s="12">
        <f t="shared" si="12"/>
        <v>-2.0435754163798947E-3</v>
      </c>
      <c r="C83" s="12">
        <f t="shared" si="13"/>
        <v>49</v>
      </c>
      <c r="D83" s="12">
        <f t="shared" si="14"/>
        <v>0.74881254094812899</v>
      </c>
      <c r="E83" s="12">
        <f t="shared" si="15"/>
        <v>8.8895248297760077E-4</v>
      </c>
      <c r="F83" s="12">
        <f t="shared" si="16"/>
        <v>7</v>
      </c>
      <c r="G83" s="12">
        <f t="shared" si="17"/>
        <v>5.3615801329832069E-2</v>
      </c>
      <c r="H83" s="12">
        <f t="shared" si="18"/>
        <v>-8.9040290364827968E-5</v>
      </c>
      <c r="I83" s="12">
        <f>2</f>
        <v>2</v>
      </c>
      <c r="J83" s="12">
        <f t="shared" si="19"/>
        <v>0.54873240468680029</v>
      </c>
      <c r="K83" s="12">
        <f t="shared" si="11"/>
        <v>1.250141362667786E-2</v>
      </c>
      <c r="L83" s="12">
        <f t="shared" si="20"/>
        <v>1.2699321185394297E-4</v>
      </c>
      <c r="M83" s="7" t="str">
        <f t="shared" si="21"/>
        <v>no</v>
      </c>
    </row>
    <row r="84" spans="1:13" x14ac:dyDescent="0.35">
      <c r="A84" s="7">
        <v>69</v>
      </c>
      <c r="B84" s="12">
        <f t="shared" si="12"/>
        <v>-1.974236797096296E-3</v>
      </c>
      <c r="C84" s="12">
        <f t="shared" si="13"/>
        <v>49</v>
      </c>
      <c r="D84" s="12">
        <f t="shared" si="14"/>
        <v>0.74885283149500848</v>
      </c>
      <c r="E84" s="12">
        <f t="shared" si="15"/>
        <v>8.5879027937707519E-4</v>
      </c>
      <c r="F84" s="12">
        <f t="shared" si="16"/>
        <v>7</v>
      </c>
      <c r="G84" s="12">
        <f t="shared" si="17"/>
        <v>5.3493117004206774E-2</v>
      </c>
      <c r="H84" s="12">
        <f t="shared" si="18"/>
        <v>-8.6019148719529426E-5</v>
      </c>
      <c r="I84" s="12">
        <f>2</f>
        <v>2</v>
      </c>
      <c r="J84" s="12">
        <f t="shared" si="19"/>
        <v>0.54877541426116005</v>
      </c>
      <c r="K84" s="12">
        <f t="shared" si="11"/>
        <v>1.2501319325261114E-2</v>
      </c>
      <c r="L84" s="12">
        <f t="shared" si="20"/>
        <v>1.2268432562529547E-4</v>
      </c>
      <c r="M84" s="7" t="str">
        <f t="shared" si="21"/>
        <v>no</v>
      </c>
    </row>
    <row r="85" spans="1:13" x14ac:dyDescent="0.35">
      <c r="A85" s="7">
        <v>70</v>
      </c>
      <c r="B85" s="12">
        <f t="shared" si="12"/>
        <v>-1.9072508407447231E-3</v>
      </c>
      <c r="C85" s="12">
        <f t="shared" si="13"/>
        <v>49</v>
      </c>
      <c r="D85" s="12">
        <f t="shared" si="14"/>
        <v>0.74889175498155425</v>
      </c>
      <c r="E85" s="12">
        <f t="shared" si="15"/>
        <v>8.2965148090430318E-4</v>
      </c>
      <c r="F85" s="12">
        <f t="shared" si="16"/>
        <v>7</v>
      </c>
      <c r="G85" s="12">
        <f t="shared" si="17"/>
        <v>5.3374595364077584E-2</v>
      </c>
      <c r="H85" s="12">
        <f t="shared" si="18"/>
        <v>-8.3100514567391315E-5</v>
      </c>
      <c r="I85" s="12">
        <f>2</f>
        <v>2</v>
      </c>
      <c r="J85" s="12">
        <f t="shared" si="19"/>
        <v>0.54881696451844375</v>
      </c>
      <c r="K85" s="12">
        <f t="shared" si="11"/>
        <v>1.2501231314583906E-2</v>
      </c>
      <c r="L85" s="12">
        <f t="shared" si="20"/>
        <v>1.1852164012918914E-4</v>
      </c>
      <c r="M85" s="7" t="str">
        <f t="shared" si="21"/>
        <v>no</v>
      </c>
    </row>
    <row r="86" spans="1:13" x14ac:dyDescent="0.35">
      <c r="A86" s="7">
        <v>71</v>
      </c>
      <c r="B86" s="12">
        <f t="shared" si="12"/>
        <v>-1.8425377213375782E-3</v>
      </c>
      <c r="C86" s="12">
        <f t="shared" si="13"/>
        <v>49</v>
      </c>
      <c r="D86" s="12">
        <f t="shared" si="14"/>
        <v>0.74892935779219383</v>
      </c>
      <c r="E86" s="12">
        <f t="shared" si="15"/>
        <v>8.0150136336243349E-4</v>
      </c>
      <c r="F86" s="12">
        <f t="shared" si="16"/>
        <v>7</v>
      </c>
      <c r="G86" s="12">
        <f t="shared" si="17"/>
        <v>5.3260095169311523E-2</v>
      </c>
      <c r="H86" s="12">
        <f t="shared" si="18"/>
        <v>-8.0280909821262014E-5</v>
      </c>
      <c r="I86" s="12">
        <f>2</f>
        <v>2</v>
      </c>
      <c r="J86" s="12">
        <f t="shared" si="19"/>
        <v>0.54885710497335438</v>
      </c>
      <c r="K86" s="12">
        <f t="shared" si="11"/>
        <v>1.2501149174998177E-2</v>
      </c>
      <c r="L86" s="12">
        <f t="shared" si="20"/>
        <v>1.1450019476606094E-4</v>
      </c>
      <c r="M86" s="7" t="str">
        <f t="shared" si="21"/>
        <v>no</v>
      </c>
    </row>
    <row r="87" spans="1:13" x14ac:dyDescent="0.35">
      <c r="A87" s="7">
        <v>72</v>
      </c>
      <c r="B87" s="12">
        <f t="shared" si="12"/>
        <v>-1.780020321405118E-3</v>
      </c>
      <c r="C87" s="12">
        <f t="shared" si="13"/>
        <v>49</v>
      </c>
      <c r="D87" s="12">
        <f t="shared" si="14"/>
        <v>0.74896568473752867</v>
      </c>
      <c r="E87" s="12">
        <f t="shared" si="15"/>
        <v>7.7430638076059211E-4</v>
      </c>
      <c r="F87" s="12">
        <f t="shared" si="16"/>
        <v>7</v>
      </c>
      <c r="G87" s="12">
        <f t="shared" si="17"/>
        <v>5.3149479972060008E-2</v>
      </c>
      <c r="H87" s="12">
        <f t="shared" si="18"/>
        <v>-7.7556974410697421E-5</v>
      </c>
      <c r="I87" s="12">
        <f>2</f>
        <v>2</v>
      </c>
      <c r="J87" s="12">
        <f t="shared" si="19"/>
        <v>0.54889588346055973</v>
      </c>
      <c r="K87" s="12">
        <f t="shared" si="11"/>
        <v>1.2501072514850085E-2</v>
      </c>
      <c r="L87" s="12">
        <f t="shared" si="20"/>
        <v>1.1061519725151514E-4</v>
      </c>
      <c r="M87" s="7" t="str">
        <f t="shared" si="21"/>
        <v>no</v>
      </c>
    </row>
    <row r="88" spans="1:13" x14ac:dyDescent="0.35">
      <c r="A88" s="7">
        <v>73</v>
      </c>
      <c r="B88" s="12">
        <f t="shared" si="12"/>
        <v>-1.7196241400938561E-3</v>
      </c>
      <c r="C88" s="12">
        <f t="shared" si="13"/>
        <v>49</v>
      </c>
      <c r="D88" s="12">
        <f t="shared" si="14"/>
        <v>0.74900077910773466</v>
      </c>
      <c r="E88" s="12">
        <f t="shared" si="15"/>
        <v>7.480341253227607E-4</v>
      </c>
      <c r="F88" s="12">
        <f t="shared" si="16"/>
        <v>7</v>
      </c>
      <c r="G88" s="12">
        <f t="shared" si="17"/>
        <v>5.3042617954156754E-2</v>
      </c>
      <c r="H88" s="12">
        <f t="shared" si="18"/>
        <v>-7.4925462267394494E-5</v>
      </c>
      <c r="I88" s="12">
        <f>2</f>
        <v>2</v>
      </c>
      <c r="J88" s="12">
        <f t="shared" si="19"/>
        <v>0.54893334619169343</v>
      </c>
      <c r="K88" s="12">
        <f t="shared" si="11"/>
        <v>1.2501000968612759E-2</v>
      </c>
      <c r="L88" s="12">
        <f t="shared" si="20"/>
        <v>1.068620179032545E-4</v>
      </c>
      <c r="M88" s="7" t="str">
        <f t="shared" si="21"/>
        <v>no</v>
      </c>
    </row>
    <row r="89" spans="1:13" x14ac:dyDescent="0.35">
      <c r="A89" s="7">
        <v>74</v>
      </c>
      <c r="B89" s="12">
        <f t="shared" si="12"/>
        <v>-1.6612772043274049E-3</v>
      </c>
      <c r="C89" s="12">
        <f t="shared" si="13"/>
        <v>49</v>
      </c>
      <c r="D89" s="12">
        <f t="shared" si="14"/>
        <v>0.74903468272414953</v>
      </c>
      <c r="E89" s="12">
        <f t="shared" si="15"/>
        <v>7.2265328886800262E-4</v>
      </c>
      <c r="F89" s="12">
        <f t="shared" si="16"/>
        <v>7</v>
      </c>
      <c r="G89" s="12">
        <f t="shared" si="17"/>
        <v>5.2939381770032753E-2</v>
      </c>
      <c r="H89" s="12">
        <f t="shared" si="18"/>
        <v>-7.2383237467832373E-5</v>
      </c>
      <c r="I89" s="12">
        <f>2</f>
        <v>2</v>
      </c>
      <c r="J89" s="12">
        <f t="shared" si="19"/>
        <v>0.54896953781042734</v>
      </c>
      <c r="K89" s="12">
        <f t="shared" si="11"/>
        <v>1.2500934195142923E-2</v>
      </c>
      <c r="L89" s="12">
        <f t="shared" si="20"/>
        <v>1.0323618412400037E-4</v>
      </c>
      <c r="M89" s="7" t="str">
        <f t="shared" si="21"/>
        <v>no</v>
      </c>
    </row>
    <row r="90" spans="1:13" x14ac:dyDescent="0.35">
      <c r="A90" s="7">
        <v>75</v>
      </c>
      <c r="B90" s="12">
        <f t="shared" si="12"/>
        <v>-1.6049099830937053E-3</v>
      </c>
      <c r="C90" s="12">
        <f t="shared" si="13"/>
        <v>49</v>
      </c>
      <c r="D90" s="12">
        <f t="shared" si="14"/>
        <v>0.74906743598911063</v>
      </c>
      <c r="E90" s="12">
        <f t="shared" si="15"/>
        <v>6.9813362550341651E-4</v>
      </c>
      <c r="F90" s="12">
        <f t="shared" si="16"/>
        <v>7</v>
      </c>
      <c r="G90" s="12">
        <f t="shared" si="17"/>
        <v>5.2839648394960838E-2</v>
      </c>
      <c r="H90" s="12">
        <f t="shared" si="18"/>
        <v>-6.9927270488712168E-5</v>
      </c>
      <c r="I90" s="12">
        <f>2</f>
        <v>2</v>
      </c>
      <c r="J90" s="12">
        <f t="shared" si="19"/>
        <v>0.5490045014456717</v>
      </c>
      <c r="K90" s="12">
        <f t="shared" si="11"/>
        <v>1.2500871876054842E-2</v>
      </c>
      <c r="L90" s="12">
        <f t="shared" si="20"/>
        <v>9.9733375071915653E-5</v>
      </c>
      <c r="M90" s="7" t="str">
        <f t="shared" si="21"/>
        <v>no</v>
      </c>
    </row>
    <row r="91" spans="1:13" x14ac:dyDescent="0.35">
      <c r="A91" s="7">
        <v>76</v>
      </c>
      <c r="B91" s="12">
        <f t="shared" si="12"/>
        <v>-1.5504553045815328E-3</v>
      </c>
      <c r="C91" s="12">
        <f t="shared" si="13"/>
        <v>49</v>
      </c>
      <c r="D91" s="12">
        <f t="shared" si="14"/>
        <v>0.74909907793410213</v>
      </c>
      <c r="E91" s="12">
        <f t="shared" si="15"/>
        <v>6.7444591557830336E-4</v>
      </c>
      <c r="F91" s="12">
        <f t="shared" si="16"/>
        <v>7</v>
      </c>
      <c r="G91" s="12">
        <f t="shared" si="17"/>
        <v>5.2743298978449649E-2</v>
      </c>
      <c r="H91" s="12">
        <f t="shared" si="18"/>
        <v>-6.7554634592958962E-5</v>
      </c>
      <c r="I91" s="12">
        <f>2</f>
        <v>2</v>
      </c>
      <c r="J91" s="12">
        <f t="shared" si="19"/>
        <v>0.54903827876296818</v>
      </c>
      <c r="K91" s="12">
        <f t="shared" si="11"/>
        <v>1.2500813714201732E-2</v>
      </c>
      <c r="L91" s="12">
        <f t="shared" si="20"/>
        <v>9.6349416511189168E-5</v>
      </c>
      <c r="M91" s="7" t="str">
        <f t="shared" si="21"/>
        <v>no</v>
      </c>
    </row>
    <row r="92" spans="1:13" x14ac:dyDescent="0.35">
      <c r="A92" s="7">
        <v>77</v>
      </c>
      <c r="B92" s="12">
        <f t="shared" si="12"/>
        <v>-1.4978482761236478E-3</v>
      </c>
      <c r="C92" s="12">
        <f t="shared" si="13"/>
        <v>49</v>
      </c>
      <c r="D92" s="12">
        <f t="shared" si="14"/>
        <v>0.74912964626626788</v>
      </c>
      <c r="E92" s="12">
        <f t="shared" si="15"/>
        <v>6.5156193087467784E-4</v>
      </c>
      <c r="F92" s="12">
        <f t="shared" si="16"/>
        <v>7</v>
      </c>
      <c r="G92" s="12">
        <f t="shared" si="17"/>
        <v>5.2650218702610406E-2</v>
      </c>
      <c r="H92" s="12">
        <f t="shared" si="18"/>
        <v>-6.5262502357832375E-5</v>
      </c>
      <c r="I92" s="12">
        <f>2</f>
        <v>2</v>
      </c>
      <c r="J92" s="12">
        <f t="shared" si="19"/>
        <v>0.5490709100141471</v>
      </c>
      <c r="K92" s="12">
        <f t="shared" si="11"/>
        <v>1.2500759432259213E-2</v>
      </c>
      <c r="L92" s="12">
        <f t="shared" si="20"/>
        <v>9.3080275839242665E-5</v>
      </c>
      <c r="M92" s="7" t="str">
        <f t="shared" si="21"/>
        <v>no</v>
      </c>
    </row>
    <row r="93" spans="1:13" x14ac:dyDescent="0.35">
      <c r="A93" s="7">
        <v>78</v>
      </c>
      <c r="B93" s="12">
        <f t="shared" si="12"/>
        <v>-1.4470262068542183E-3</v>
      </c>
      <c r="C93" s="12">
        <f t="shared" si="13"/>
        <v>49</v>
      </c>
      <c r="D93" s="12">
        <f t="shared" si="14"/>
        <v>0.74915917741334659</v>
      </c>
      <c r="E93" s="12">
        <f t="shared" si="15"/>
        <v>6.2945440095418803E-4</v>
      </c>
      <c r="F93" s="12">
        <f t="shared" si="16"/>
        <v>7</v>
      </c>
      <c r="G93" s="12">
        <f t="shared" si="17"/>
        <v>5.2560296645331239E-2</v>
      </c>
      <c r="H93" s="12">
        <f t="shared" si="18"/>
        <v>-6.3048142286525888E-5</v>
      </c>
      <c r="I93" s="12">
        <f>2</f>
        <v>2</v>
      </c>
      <c r="J93" s="12">
        <f t="shared" si="19"/>
        <v>0.54910243408529036</v>
      </c>
      <c r="K93" s="12">
        <f t="shared" si="11"/>
        <v>1.2500708771402903E-2</v>
      </c>
      <c r="L93" s="12">
        <f t="shared" si="20"/>
        <v>8.9922057279166745E-5</v>
      </c>
      <c r="M93" s="7" t="str">
        <f t="shared" si="21"/>
        <v>no</v>
      </c>
    </row>
    <row r="94" spans="1:13" x14ac:dyDescent="0.35">
      <c r="A94" s="7">
        <v>79</v>
      </c>
      <c r="B94" s="12">
        <f t="shared" si="12"/>
        <v>-1.3979285330236735E-3</v>
      </c>
      <c r="C94" s="12">
        <f t="shared" si="13"/>
        <v>49</v>
      </c>
      <c r="D94" s="12">
        <f t="shared" si="14"/>
        <v>0.74918770656708178</v>
      </c>
      <c r="E94" s="12">
        <f t="shared" si="15"/>
        <v>6.0809698066144335E-4</v>
      </c>
      <c r="F94" s="12">
        <f t="shared" si="16"/>
        <v>7</v>
      </c>
      <c r="G94" s="12">
        <f t="shared" si="17"/>
        <v>5.2473425648093888E-2</v>
      </c>
      <c r="H94" s="12">
        <f t="shared" si="18"/>
        <v>-6.0908915564539257E-5</v>
      </c>
      <c r="I94" s="12">
        <f>2</f>
        <v>2</v>
      </c>
      <c r="J94" s="12">
        <f t="shared" si="19"/>
        <v>0.54913288854307263</v>
      </c>
      <c r="K94" s="12">
        <f t="shared" si="11"/>
        <v>1.2500661490074354E-2</v>
      </c>
      <c r="L94" s="12">
        <f t="shared" si="20"/>
        <v>8.6870997237351033E-5</v>
      </c>
      <c r="M94" s="7" t="str">
        <f t="shared" si="21"/>
        <v>no</v>
      </c>
    </row>
    <row r="95" spans="1:13" x14ac:dyDescent="0.35">
      <c r="A95" s="7">
        <v>80</v>
      </c>
      <c r="B95" s="12">
        <f t="shared" si="12"/>
        <v>-1.3504967457933503E-3</v>
      </c>
      <c r="C95" s="12">
        <f t="shared" si="13"/>
        <v>49</v>
      </c>
      <c r="D95" s="12">
        <f t="shared" si="14"/>
        <v>0.74921526772515923</v>
      </c>
      <c r="E95" s="12">
        <f t="shared" si="15"/>
        <v>5.8746421874111832E-4</v>
      </c>
      <c r="F95" s="12">
        <f t="shared" si="16"/>
        <v>7</v>
      </c>
      <c r="G95" s="12">
        <f t="shared" si="17"/>
        <v>5.2389502188273727E-2</v>
      </c>
      <c r="H95" s="12">
        <f t="shared" si="18"/>
        <v>-5.8842272918191441E-5</v>
      </c>
      <c r="I95" s="12">
        <f>2</f>
        <v>2</v>
      </c>
      <c r="J95" s="12">
        <f t="shared" si="19"/>
        <v>0.54916230967953172</v>
      </c>
      <c r="K95" s="12">
        <f t="shared" si="11"/>
        <v>1.2500617362829047E-2</v>
      </c>
      <c r="L95" s="12">
        <f t="shared" si="20"/>
        <v>8.3923459820160751E-5</v>
      </c>
      <c r="M95" s="7" t="str">
        <f t="shared" si="21"/>
        <v>no</v>
      </c>
    </row>
    <row r="96" spans="1:13" x14ac:dyDescent="0.35">
      <c r="A96" s="7">
        <v>81</v>
      </c>
      <c r="B96" s="12">
        <f t="shared" si="12"/>
        <v>-1.3046743215454626E-3</v>
      </c>
      <c r="C96" s="12">
        <f t="shared" si="13"/>
        <v>49</v>
      </c>
      <c r="D96" s="12">
        <f t="shared" si="14"/>
        <v>0.74924189373172134</v>
      </c>
      <c r="E96" s="12">
        <f t="shared" si="15"/>
        <v>5.6753152749422497E-4</v>
      </c>
      <c r="F96" s="12">
        <f t="shared" si="16"/>
        <v>7</v>
      </c>
      <c r="G96" s="12">
        <f t="shared" si="17"/>
        <v>5.2308426255774552E-2</v>
      </c>
      <c r="H96" s="12">
        <f t="shared" si="18"/>
        <v>-5.6845751563727731E-5</v>
      </c>
      <c r="I96" s="12">
        <f>2</f>
        <v>2</v>
      </c>
      <c r="J96" s="12">
        <f t="shared" si="19"/>
        <v>0.54919073255531359</v>
      </c>
      <c r="K96" s="12">
        <f t="shared" si="11"/>
        <v>1.2500576179261775E-2</v>
      </c>
      <c r="L96" s="12">
        <f t="shared" si="20"/>
        <v>8.1075932499174996E-5</v>
      </c>
      <c r="M96" s="7" t="str">
        <f t="shared" si="21"/>
        <v>no</v>
      </c>
    </row>
    <row r="97" spans="1:13" x14ac:dyDescent="0.35">
      <c r="A97" s="7">
        <v>82</v>
      </c>
      <c r="B97" s="12">
        <f t="shared" si="12"/>
        <v>-1.2604066545094383E-3</v>
      </c>
      <c r="C97" s="12">
        <f t="shared" si="13"/>
        <v>49</v>
      </c>
      <c r="D97" s="12">
        <f t="shared" si="14"/>
        <v>0.74926761631650729</v>
      </c>
      <c r="E97" s="12">
        <f t="shared" si="15"/>
        <v>5.4827515349309408E-4</v>
      </c>
      <c r="F97" s="12">
        <f t="shared" si="16"/>
        <v>7</v>
      </c>
      <c r="G97" s="12">
        <f t="shared" si="17"/>
        <v>5.2230101233846971E-2</v>
      </c>
      <c r="H97" s="12">
        <f t="shared" si="18"/>
        <v>-5.4916972280771859E-5</v>
      </c>
      <c r="I97" s="12">
        <f>2</f>
        <v>2</v>
      </c>
      <c r="J97" s="12">
        <f t="shared" si="19"/>
        <v>0.54921819104145397</v>
      </c>
      <c r="K97" s="12">
        <f t="shared" si="11"/>
        <v>1.2500537743003097E-2</v>
      </c>
      <c r="L97" s="12">
        <f t="shared" si="20"/>
        <v>7.8325021927581895E-5</v>
      </c>
      <c r="M97" s="7" t="str">
        <f t="shared" si="21"/>
        <v>no</v>
      </c>
    </row>
    <row r="98" spans="1:13" x14ac:dyDescent="0.35">
      <c r="A98" s="7">
        <v>83</v>
      </c>
      <c r="B98" s="12">
        <f t="shared" si="12"/>
        <v>-1.2176409917117326E-3</v>
      </c>
      <c r="C98" s="12">
        <f t="shared" si="13"/>
        <v>49</v>
      </c>
      <c r="D98" s="12">
        <f t="shared" si="14"/>
        <v>0.74929246613266465</v>
      </c>
      <c r="E98" s="12">
        <f t="shared" si="15"/>
        <v>5.2967214925381256E-4</v>
      </c>
      <c r="F98" s="12">
        <f t="shared" si="16"/>
        <v>7</v>
      </c>
      <c r="G98" s="12">
        <f t="shared" si="17"/>
        <v>5.2154433783953569E-2</v>
      </c>
      <c r="H98" s="12">
        <f t="shared" si="18"/>
        <v>-5.3053636579036834E-5</v>
      </c>
      <c r="I98" s="12">
        <f>2</f>
        <v>2</v>
      </c>
      <c r="J98" s="12">
        <f t="shared" si="19"/>
        <v>0.54924471785974349</v>
      </c>
      <c r="K98" s="12">
        <f t="shared" si="11"/>
        <v>1.2500501870783203E-2</v>
      </c>
      <c r="L98" s="12">
        <f t="shared" si="20"/>
        <v>7.5667449893401795E-5</v>
      </c>
      <c r="M98" s="7" t="str">
        <f t="shared" si="21"/>
        <v>no</v>
      </c>
    </row>
    <row r="99" spans="1:13" x14ac:dyDescent="0.35">
      <c r="A99" s="7">
        <v>84</v>
      </c>
      <c r="B99" s="12">
        <f t="shared" si="12"/>
        <v>-1.1763263700643734E-3</v>
      </c>
      <c r="C99" s="12">
        <f t="shared" si="13"/>
        <v>49</v>
      </c>
      <c r="D99" s="12">
        <f t="shared" si="14"/>
        <v>0.74931647279327818</v>
      </c>
      <c r="E99" s="12">
        <f t="shared" si="15"/>
        <v>5.1170034591407898E-4</v>
      </c>
      <c r="F99" s="12">
        <f t="shared" si="16"/>
        <v>7</v>
      </c>
      <c r="G99" s="12">
        <f t="shared" si="17"/>
        <v>5.2081333734537272E-2</v>
      </c>
      <c r="H99" s="12">
        <f t="shared" si="18"/>
        <v>-5.1253523954741809E-5</v>
      </c>
      <c r="I99" s="12">
        <f>2</f>
        <v>2</v>
      </c>
      <c r="J99" s="12">
        <f t="shared" si="19"/>
        <v>0.54927034462172086</v>
      </c>
      <c r="K99" s="12">
        <f t="shared" si="11"/>
        <v>1.2500468391558002E-2</v>
      </c>
      <c r="L99" s="12">
        <f t="shared" si="20"/>
        <v>7.3100049416296997E-5</v>
      </c>
      <c r="M99" s="7" t="str">
        <f t="shared" si="21"/>
        <v>no</v>
      </c>
    </row>
    <row r="100" spans="1:13" x14ac:dyDescent="0.35">
      <c r="A100" s="7">
        <v>85</v>
      </c>
      <c r="B100" s="12">
        <f t="shared" si="12"/>
        <v>-1.1364135556561905E-3</v>
      </c>
      <c r="C100" s="12">
        <f t="shared" si="13"/>
        <v>49</v>
      </c>
      <c r="D100" s="12">
        <f t="shared" si="14"/>
        <v>0.74933966490665893</v>
      </c>
      <c r="E100" s="12">
        <f t="shared" si="15"/>
        <v>4.9433832678325018E-4</v>
      </c>
      <c r="F100" s="12">
        <f t="shared" si="16"/>
        <v>7</v>
      </c>
      <c r="G100" s="12">
        <f t="shared" si="17"/>
        <v>5.2010713973568233E-2</v>
      </c>
      <c r="H100" s="12">
        <f t="shared" si="18"/>
        <v>-4.9514489240287674E-5</v>
      </c>
      <c r="I100" s="12">
        <f>2</f>
        <v>2</v>
      </c>
      <c r="J100" s="12">
        <f t="shared" si="19"/>
        <v>0.54929510186634101</v>
      </c>
      <c r="K100" s="12">
        <f t="shared" si="11"/>
        <v>1.250043714569357E-2</v>
      </c>
      <c r="L100" s="12">
        <f t="shared" si="20"/>
        <v>7.0619760969038714E-5</v>
      </c>
      <c r="M100" s="7" t="str">
        <f t="shared" si="21"/>
        <v>no</v>
      </c>
    </row>
    <row r="101" spans="1:13" x14ac:dyDescent="0.35">
      <c r="A101" s="7">
        <v>86</v>
      </c>
      <c r="B101" s="12">
        <f t="shared" si="12"/>
        <v>-1.0978549850975128E-3</v>
      </c>
      <c r="C101" s="12">
        <f t="shared" si="13"/>
        <v>49</v>
      </c>
      <c r="D101" s="12">
        <f t="shared" si="14"/>
        <v>0.74936207011043643</v>
      </c>
      <c r="E101" s="12">
        <f t="shared" si="15"/>
        <v>4.7756540185517338E-4</v>
      </c>
      <c r="F101" s="12">
        <f t="shared" si="16"/>
        <v>7</v>
      </c>
      <c r="G101" s="12">
        <f t="shared" si="17"/>
        <v>5.1942490344731779E-2</v>
      </c>
      <c r="H101" s="12">
        <f t="shared" si="18"/>
        <v>-4.7834460067619489E-5</v>
      </c>
      <c r="I101" s="12">
        <f>2</f>
        <v>2</v>
      </c>
      <c r="J101" s="12">
        <f t="shared" si="19"/>
        <v>0.54931901909637482</v>
      </c>
      <c r="K101" s="12">
        <f t="shared" si="11"/>
        <v>1.2500407984205038E-2</v>
      </c>
      <c r="L101" s="12">
        <f t="shared" si="20"/>
        <v>6.8223628836454331E-5</v>
      </c>
      <c r="M101" s="7" t="str">
        <f t="shared" si="21"/>
        <v>no</v>
      </c>
    </row>
    <row r="102" spans="1:13" x14ac:dyDescent="0.35">
      <c r="A102" s="7">
        <v>87</v>
      </c>
      <c r="B102" s="12">
        <f t="shared" si="12"/>
        <v>-1.0606047088117521E-3</v>
      </c>
      <c r="C102" s="12">
        <f t="shared" si="13"/>
        <v>49</v>
      </c>
      <c r="D102" s="12">
        <f t="shared" si="14"/>
        <v>0.74938371510449386</v>
      </c>
      <c r="E102" s="12">
        <f t="shared" si="15"/>
        <v>4.6136158313636599E-4</v>
      </c>
      <c r="F102" s="12">
        <f t="shared" si="16"/>
        <v>7</v>
      </c>
      <c r="G102" s="12">
        <f t="shared" si="17"/>
        <v>5.1876581547140872E-2</v>
      </c>
      <c r="H102" s="12">
        <f t="shared" si="18"/>
        <v>-4.6211434370668769E-5</v>
      </c>
      <c r="I102" s="12">
        <f>2</f>
        <v>2</v>
      </c>
      <c r="J102" s="12">
        <f t="shared" si="19"/>
        <v>0.54934212481356015</v>
      </c>
      <c r="K102" s="12">
        <f t="shared" si="11"/>
        <v>1.2500380768045919E-2</v>
      </c>
      <c r="L102" s="12">
        <f t="shared" si="20"/>
        <v>6.5908797590906454E-5</v>
      </c>
      <c r="M102" s="7" t="str">
        <f t="shared" si="21"/>
        <v>no</v>
      </c>
    </row>
    <row r="103" spans="1:13" x14ac:dyDescent="0.35">
      <c r="A103" s="7">
        <v>88</v>
      </c>
      <c r="B103" s="12">
        <f t="shared" si="12"/>
        <v>-1.024618336344929E-3</v>
      </c>
      <c r="C103" s="12">
        <f t="shared" si="13"/>
        <v>49</v>
      </c>
      <c r="D103" s="12">
        <f t="shared" si="14"/>
        <v>0.74940462568278665</v>
      </c>
      <c r="E103" s="12">
        <f t="shared" si="15"/>
        <v>4.4570756082684682E-4</v>
      </c>
      <c r="F103" s="12">
        <f t="shared" si="16"/>
        <v>7</v>
      </c>
      <c r="G103" s="12">
        <f t="shared" si="17"/>
        <v>5.1812909038451323E-2</v>
      </c>
      <c r="H103" s="12">
        <f t="shared" si="18"/>
        <v>-4.4643478019246174E-5</v>
      </c>
      <c r="I103" s="12">
        <f>2</f>
        <v>2</v>
      </c>
      <c r="J103" s="12">
        <f t="shared" si="19"/>
        <v>0.54936444655256977</v>
      </c>
      <c r="K103" s="12">
        <f t="shared" si="11"/>
        <v>1.2500355367445662E-2</v>
      </c>
      <c r="L103" s="12">
        <f t="shared" si="20"/>
        <v>6.3672508689549545E-5</v>
      </c>
      <c r="M103" s="7" t="str">
        <f t="shared" si="21"/>
        <v>no</v>
      </c>
    </row>
    <row r="104" spans="1:13" x14ac:dyDescent="0.35">
      <c r="A104" s="7">
        <v>89</v>
      </c>
      <c r="B104" s="12">
        <f t="shared" si="12"/>
        <v>-9.8985298333786886E-4</v>
      </c>
      <c r="C104" s="12">
        <f t="shared" si="13"/>
        <v>49</v>
      </c>
      <c r="D104" s="12">
        <f t="shared" si="14"/>
        <v>0.74942482676407929</v>
      </c>
      <c r="E104" s="12">
        <f t="shared" si="15"/>
        <v>4.3058468029499863E-4</v>
      </c>
      <c r="F104" s="12">
        <f t="shared" si="16"/>
        <v>7</v>
      </c>
      <c r="G104" s="12">
        <f t="shared" si="17"/>
        <v>5.175139694126632E-2</v>
      </c>
      <c r="H104" s="12">
        <f t="shared" si="18"/>
        <v>-4.3128722506224904E-5</v>
      </c>
      <c r="I104" s="12">
        <f>2</f>
        <v>2</v>
      </c>
      <c r="J104" s="12">
        <f t="shared" si="19"/>
        <v>0.54938601091382289</v>
      </c>
      <c r="K104" s="12">
        <f t="shared" si="11"/>
        <v>1.2500331661290359E-2</v>
      </c>
      <c r="L104" s="12">
        <f t="shared" si="20"/>
        <v>6.1512097185002779E-5</v>
      </c>
      <c r="M104" s="7" t="str">
        <f t="shared" si="21"/>
        <v>no</v>
      </c>
    </row>
    <row r="105" spans="1:13" x14ac:dyDescent="0.35">
      <c r="A105" s="7">
        <v>90</v>
      </c>
      <c r="B105" s="12">
        <f t="shared" si="12"/>
        <v>-9.5626722055897062E-4</v>
      </c>
      <c r="C105" s="12">
        <f t="shared" si="13"/>
        <v>49</v>
      </c>
      <c r="D105" s="12">
        <f t="shared" si="14"/>
        <v>0.74944434242164171</v>
      </c>
      <c r="E105" s="12">
        <f t="shared" si="15"/>
        <v>4.1597491988376589E-4</v>
      </c>
      <c r="F105" s="12">
        <f t="shared" si="16"/>
        <v>7</v>
      </c>
      <c r="G105" s="12">
        <f t="shared" si="17"/>
        <v>5.1691971952711496E-2</v>
      </c>
      <c r="H105" s="12">
        <f t="shared" si="18"/>
        <v>-4.1665362727982824E-5</v>
      </c>
      <c r="I105" s="12">
        <f>2</f>
        <v>2</v>
      </c>
      <c r="J105" s="12">
        <f t="shared" si="19"/>
        <v>0.54940684359518688</v>
      </c>
      <c r="K105" s="12">
        <f t="shared" si="11"/>
        <v>1.2500309536545502E-2</v>
      </c>
      <c r="L105" s="12">
        <f t="shared" si="20"/>
        <v>5.9424988554823699E-5</v>
      </c>
      <c r="M105" s="7" t="str">
        <f t="shared" si="21"/>
        <v>no</v>
      </c>
    </row>
    <row r="106" spans="1:13" x14ac:dyDescent="0.35">
      <c r="A106" s="7">
        <v>91</v>
      </c>
      <c r="B106" s="12">
        <f t="shared" si="12"/>
        <v>-9.2382102444332759E-4</v>
      </c>
      <c r="C106" s="12">
        <f t="shared" si="13"/>
        <v>49</v>
      </c>
      <c r="D106" s="12">
        <f t="shared" si="14"/>
        <v>0.74946319591193644</v>
      </c>
      <c r="E106" s="12">
        <f t="shared" si="15"/>
        <v>4.0186086939542065E-4</v>
      </c>
      <c r="F106" s="12">
        <f t="shared" si="16"/>
        <v>7</v>
      </c>
      <c r="G106" s="12">
        <f t="shared" si="17"/>
        <v>5.1634563257083578E-2</v>
      </c>
      <c r="H106" s="12">
        <f t="shared" si="18"/>
        <v>-4.0251654819911664E-5</v>
      </c>
      <c r="I106" s="12">
        <f>2</f>
        <v>2</v>
      </c>
      <c r="J106" s="12">
        <f t="shared" si="19"/>
        <v>0.54942696942259683</v>
      </c>
      <c r="K106" s="12">
        <f t="shared" si="11"/>
        <v>1.2500288887717044E-2</v>
      </c>
      <c r="L106" s="12">
        <f t="shared" si="20"/>
        <v>5.7408695627918227E-5</v>
      </c>
      <c r="M106" s="7" t="str">
        <f t="shared" si="21"/>
        <v>no</v>
      </c>
    </row>
    <row r="107" spans="1:13" x14ac:dyDescent="0.35">
      <c r="A107" s="7">
        <v>92</v>
      </c>
      <c r="B107" s="12">
        <f t="shared" si="12"/>
        <v>-8.924757294366259E-4</v>
      </c>
      <c r="C107" s="12">
        <f t="shared" si="13"/>
        <v>49</v>
      </c>
      <c r="D107" s="12">
        <f t="shared" si="14"/>
        <v>0.74948140970233312</v>
      </c>
      <c r="E107" s="12">
        <f t="shared" si="15"/>
        <v>3.8822570937213641E-4</v>
      </c>
      <c r="F107" s="12">
        <f t="shared" si="16"/>
        <v>7</v>
      </c>
      <c r="G107" s="12">
        <f t="shared" si="17"/>
        <v>5.1579102441458989E-2</v>
      </c>
      <c r="H107" s="12">
        <f t="shared" si="18"/>
        <v>-3.8885914097619434E-5</v>
      </c>
      <c r="I107" s="12">
        <f>2</f>
        <v>2</v>
      </c>
      <c r="J107" s="12">
        <f t="shared" si="19"/>
        <v>0.54944641237964564</v>
      </c>
      <c r="K107" s="12">
        <f t="shared" si="11"/>
        <v>1.2500269616348281E-2</v>
      </c>
      <c r="L107" s="12">
        <f t="shared" si="20"/>
        <v>5.5460815624588933E-5</v>
      </c>
      <c r="M107" s="7" t="str">
        <f t="shared" si="21"/>
        <v>no</v>
      </c>
    </row>
    <row r="108" spans="1:13" x14ac:dyDescent="0.35">
      <c r="A108" s="7">
        <v>93</v>
      </c>
      <c r="B108" s="12">
        <f t="shared" si="12"/>
        <v>-8.6219398189513186E-4</v>
      </c>
      <c r="C108" s="12">
        <f t="shared" si="13"/>
        <v>49</v>
      </c>
      <c r="D108" s="12">
        <f t="shared" si="14"/>
        <v>0.74949900549788195</v>
      </c>
      <c r="E108" s="12">
        <f t="shared" si="15"/>
        <v>3.7505319102493218E-4</v>
      </c>
      <c r="F108" s="12">
        <f t="shared" si="16"/>
        <v>7</v>
      </c>
      <c r="G108" s="12">
        <f t="shared" si="17"/>
        <v>5.1525523414169716E-2</v>
      </c>
      <c r="H108" s="12">
        <f t="shared" si="18"/>
        <v>-3.756651302655456E-5</v>
      </c>
      <c r="I108" s="12">
        <f>2</f>
        <v>2</v>
      </c>
      <c r="J108" s="12">
        <f t="shared" si="19"/>
        <v>0.54946519563615892</v>
      </c>
      <c r="K108" s="12">
        <f t="shared" si="11"/>
        <v>1.2500251630550486E-2</v>
      </c>
      <c r="L108" s="12">
        <f t="shared" si="20"/>
        <v>5.3579027289273051E-5</v>
      </c>
      <c r="M108" s="7" t="str">
        <f t="shared" si="21"/>
        <v>no</v>
      </c>
    </row>
    <row r="109" spans="1:13" x14ac:dyDescent="0.35">
      <c r="A109" s="7">
        <v>94</v>
      </c>
      <c r="B109" s="12">
        <f t="shared" si="12"/>
        <v>-8.3293969561282211E-4</v>
      </c>
      <c r="C109" s="12">
        <f t="shared" si="13"/>
        <v>49</v>
      </c>
      <c r="D109" s="12">
        <f t="shared" si="14"/>
        <v>0.74951600426718012</v>
      </c>
      <c r="E109" s="12">
        <f t="shared" si="15"/>
        <v>3.6232761690691007E-4</v>
      </c>
      <c r="F109" s="12">
        <f t="shared" si="16"/>
        <v>7</v>
      </c>
      <c r="G109" s="12">
        <f t="shared" si="17"/>
        <v>5.1473762326040159E-2</v>
      </c>
      <c r="H109" s="12">
        <f t="shared" si="18"/>
        <v>-3.6291879300875962E-5</v>
      </c>
      <c r="I109" s="12">
        <f>2</f>
        <v>2</v>
      </c>
      <c r="J109" s="12">
        <f t="shared" si="19"/>
        <v>0.54948334157580936</v>
      </c>
      <c r="K109" s="12">
        <f t="shared" si="11"/>
        <v>1.2500234844564615E-2</v>
      </c>
      <c r="L109" s="12">
        <f t="shared" si="20"/>
        <v>5.1761088129556598E-5</v>
      </c>
      <c r="M109" s="7" t="str">
        <f t="shared" si="21"/>
        <v>no</v>
      </c>
    </row>
    <row r="110" spans="1:13" x14ac:dyDescent="0.35">
      <c r="A110" s="7">
        <v>95</v>
      </c>
      <c r="B110" s="12">
        <f t="shared" si="12"/>
        <v>-8.0467800879091556E-4</v>
      </c>
      <c r="C110" s="12">
        <f t="shared" si="13"/>
        <v>49</v>
      </c>
      <c r="D110" s="12">
        <f t="shared" si="14"/>
        <v>0.7495324262673595</v>
      </c>
      <c r="E110" s="12">
        <f t="shared" si="15"/>
        <v>3.5003382217979606E-4</v>
      </c>
      <c r="F110" s="12">
        <f t="shared" si="16"/>
        <v>7</v>
      </c>
      <c r="G110" s="12">
        <f t="shared" si="17"/>
        <v>5.1423757494300192E-2</v>
      </c>
      <c r="H110" s="12">
        <f t="shared" si="18"/>
        <v>-3.5060493964067518E-5</v>
      </c>
      <c r="I110" s="12">
        <f>2</f>
        <v>2</v>
      </c>
      <c r="J110" s="12">
        <f t="shared" si="19"/>
        <v>0.54950087182279139</v>
      </c>
      <c r="K110" s="12">
        <f t="shared" si="11"/>
        <v>1.2500219178352668E-2</v>
      </c>
      <c r="L110" s="12">
        <f t="shared" si="20"/>
        <v>5.0004831739967892E-5</v>
      </c>
      <c r="M110" s="7" t="str">
        <f t="shared" si="21"/>
        <v>no</v>
      </c>
    </row>
    <row r="111" spans="1:13" x14ac:dyDescent="0.35">
      <c r="A111" s="7">
        <v>96</v>
      </c>
      <c r="B111" s="12">
        <f t="shared" si="12"/>
        <v>-7.7737524244270162E-4</v>
      </c>
      <c r="C111" s="12">
        <f t="shared" si="13"/>
        <v>49</v>
      </c>
      <c r="D111" s="12">
        <f t="shared" si="14"/>
        <v>0.74954829106822563</v>
      </c>
      <c r="E111" s="12">
        <f t="shared" si="15"/>
        <v>3.3815715653595646E-4</v>
      </c>
      <c r="F111" s="12">
        <f t="shared" si="16"/>
        <v>7</v>
      </c>
      <c r="G111" s="12">
        <f t="shared" si="17"/>
        <v>5.1375449329080766E-2</v>
      </c>
      <c r="H111" s="12">
        <f t="shared" si="18"/>
        <v>-3.3870889595277731E-5</v>
      </c>
      <c r="I111" s="12">
        <f>2</f>
        <v>2</v>
      </c>
      <c r="J111" s="12">
        <f t="shared" si="19"/>
        <v>0.54951780726758903</v>
      </c>
      <c r="K111" s="12">
        <f t="shared" si="11"/>
        <v>1.2500204557215785E-2</v>
      </c>
      <c r="L111" s="12">
        <f t="shared" si="20"/>
        <v>4.8308165219425325E-5</v>
      </c>
      <c r="M111" s="7" t="str">
        <f t="shared" si="21"/>
        <v>no</v>
      </c>
    </row>
    <row r="112" spans="1:13" x14ac:dyDescent="0.35">
      <c r="A112" s="7">
        <v>97</v>
      </c>
      <c r="B112" s="12">
        <f t="shared" si="12"/>
        <v>-7.5099886036866792E-4</v>
      </c>
      <c r="C112" s="12">
        <f t="shared" si="13"/>
        <v>49</v>
      </c>
      <c r="D112" s="12">
        <f t="shared" si="14"/>
        <v>0.7495636175755801</v>
      </c>
      <c r="E112" s="12">
        <f t="shared" si="15"/>
        <v>3.2668346677411364E-4</v>
      </c>
      <c r="F112" s="12">
        <f t="shared" si="16"/>
        <v>7</v>
      </c>
      <c r="G112" s="12">
        <f t="shared" si="17"/>
        <v>5.1328780262398753E-2</v>
      </c>
      <c r="H112" s="12">
        <f t="shared" si="18"/>
        <v>-3.2721648564937311E-5</v>
      </c>
      <c r="I112" s="12">
        <f>2</f>
        <v>2</v>
      </c>
      <c r="J112" s="12">
        <f t="shared" si="19"/>
        <v>0.5495341680918715</v>
      </c>
      <c r="K112" s="12">
        <f t="shared" si="11"/>
        <v>1.2500190911438171E-2</v>
      </c>
      <c r="L112" s="12">
        <f t="shared" si="20"/>
        <v>4.666906668201326E-5</v>
      </c>
      <c r="M112" s="7" t="str">
        <f t="shared" si="21"/>
        <v>no</v>
      </c>
    </row>
    <row r="113" spans="1:13" x14ac:dyDescent="0.35">
      <c r="A113" s="7">
        <v>98</v>
      </c>
      <c r="B113" s="12">
        <f t="shared" si="12"/>
        <v>-7.2551743029691806E-4</v>
      </c>
      <c r="C113" s="12">
        <f t="shared" si="13"/>
        <v>49</v>
      </c>
      <c r="D113" s="12">
        <f t="shared" si="14"/>
        <v>0.74957842405374941</v>
      </c>
      <c r="E113" s="12">
        <f t="shared" si="15"/>
        <v>3.1559907989375802E-4</v>
      </c>
      <c r="F113" s="12">
        <f t="shared" si="16"/>
        <v>7</v>
      </c>
      <c r="G113" s="12">
        <f t="shared" si="17"/>
        <v>5.1283694679556791E-2</v>
      </c>
      <c r="H113" s="12">
        <f t="shared" si="18"/>
        <v>-3.1611401340114753E-5</v>
      </c>
      <c r="I113" s="12">
        <f>2</f>
        <v>2</v>
      </c>
      <c r="J113" s="12">
        <f t="shared" si="19"/>
        <v>0.54954997379254156</v>
      </c>
      <c r="K113" s="12">
        <f t="shared" si="11"/>
        <v>1.2500178175954758E-2</v>
      </c>
      <c r="L113" s="12">
        <f t="shared" si="20"/>
        <v>4.5085582841962457E-5</v>
      </c>
      <c r="M113" s="7" t="str">
        <f t="shared" si="21"/>
        <v>no</v>
      </c>
    </row>
    <row r="114" spans="1:13" x14ac:dyDescent="0.35">
      <c r="A114" s="7">
        <v>99</v>
      </c>
      <c r="B114" s="12">
        <f t="shared" si="12"/>
        <v>-7.0090058646599118E-4</v>
      </c>
      <c r="C114" s="12">
        <f t="shared" si="13"/>
        <v>49</v>
      </c>
      <c r="D114" s="12">
        <f t="shared" si="14"/>
        <v>0.74959272814735078</v>
      </c>
      <c r="E114" s="12">
        <f t="shared" si="15"/>
        <v>3.0489078683615389E-4</v>
      </c>
      <c r="F114" s="12">
        <f t="shared" si="16"/>
        <v>7</v>
      </c>
      <c r="G114" s="12">
        <f t="shared" si="17"/>
        <v>5.1240138852865914E-2</v>
      </c>
      <c r="H114" s="12">
        <f t="shared" si="18"/>
        <v>-3.0538824863590719E-5</v>
      </c>
      <c r="I114" s="12">
        <f>2</f>
        <v>2</v>
      </c>
      <c r="J114" s="12">
        <f t="shared" si="19"/>
        <v>0.54956524320497335</v>
      </c>
      <c r="K114" s="12">
        <f t="shared" si="11"/>
        <v>1.2500166290040859E-2</v>
      </c>
      <c r="L114" s="12">
        <f t="shared" si="20"/>
        <v>4.3555826690876154E-5</v>
      </c>
      <c r="M114" s="7" t="str">
        <f t="shared" si="21"/>
        <v>no</v>
      </c>
    </row>
    <row r="115" spans="1:13" x14ac:dyDescent="0.35">
      <c r="A115" s="7">
        <v>100</v>
      </c>
      <c r="B115" s="12">
        <f t="shared" si="12"/>
        <v>-6.7711899340849868E-4</v>
      </c>
      <c r="C115" s="12">
        <f t="shared" si="13"/>
        <v>49</v>
      </c>
      <c r="D115" s="12">
        <f t="shared" si="14"/>
        <v>0.74960654690231832</v>
      </c>
      <c r="E115" s="12">
        <f t="shared" si="15"/>
        <v>2.9454582671029073E-4</v>
      </c>
      <c r="F115" s="12">
        <f t="shared" si="16"/>
        <v>7</v>
      </c>
      <c r="G115" s="12">
        <f t="shared" si="17"/>
        <v>5.119806087762159E-2</v>
      </c>
      <c r="H115" s="12">
        <f t="shared" si="18"/>
        <v>-2.9502640960465953E-5</v>
      </c>
      <c r="I115" s="12">
        <f>2</f>
        <v>2</v>
      </c>
      <c r="J115" s="12">
        <f t="shared" si="19"/>
        <v>0.54957999452545359</v>
      </c>
      <c r="K115" s="12">
        <f t="shared" si="11"/>
        <v>1.2500155197022718E-2</v>
      </c>
      <c r="L115" s="12">
        <f t="shared" si="20"/>
        <v>4.2077975244324273E-5</v>
      </c>
      <c r="M115" s="7" t="str">
        <f t="shared" si="21"/>
        <v>no</v>
      </c>
    </row>
    <row r="116" spans="1:13" x14ac:dyDescent="0.35">
      <c r="A116" s="7">
        <v>101</v>
      </c>
      <c r="B116" s="12">
        <f t="shared" si="12"/>
        <v>-6.5414431103505422E-4</v>
      </c>
      <c r="C116" s="12">
        <f t="shared" si="13"/>
        <v>49</v>
      </c>
      <c r="D116" s="12">
        <f t="shared" si="14"/>
        <v>0.74961989678621699</v>
      </c>
      <c r="E116" s="12">
        <f t="shared" si="15"/>
        <v>2.8455187161746665E-4</v>
      </c>
      <c r="F116" s="12">
        <f t="shared" si="16"/>
        <v>7</v>
      </c>
      <c r="G116" s="12">
        <f t="shared" si="17"/>
        <v>5.1157410610247665E-2</v>
      </c>
      <c r="H116" s="12">
        <f t="shared" si="18"/>
        <v>-2.8501614830922506E-5</v>
      </c>
      <c r="I116" s="12">
        <f>2</f>
        <v>2</v>
      </c>
      <c r="J116" s="12">
        <f t="shared" si="19"/>
        <v>0.54959424533286905</v>
      </c>
      <c r="K116" s="12">
        <f t="shared" si="11"/>
        <v>1.2500144844007062E-2</v>
      </c>
      <c r="L116" s="12">
        <f t="shared" si="20"/>
        <v>4.0650267373924798E-5</v>
      </c>
      <c r="M116" s="7" t="str">
        <f t="shared" si="21"/>
        <v>no</v>
      </c>
    </row>
    <row r="117" spans="1:13" x14ac:dyDescent="0.35">
      <c r="A117" s="7">
        <v>102</v>
      </c>
      <c r="B117" s="12">
        <f t="shared" si="12"/>
        <v>-6.3194916082665031E-4</v>
      </c>
      <c r="C117" s="12">
        <f t="shared" si="13"/>
        <v>49</v>
      </c>
      <c r="D117" s="12">
        <f t="shared" si="14"/>
        <v>0.74963279370786651</v>
      </c>
      <c r="E117" s="12">
        <f t="shared" si="15"/>
        <v>2.7489701193772476E-4</v>
      </c>
      <c r="F117" s="12">
        <f t="shared" si="16"/>
        <v>7</v>
      </c>
      <c r="G117" s="12">
        <f t="shared" si="17"/>
        <v>5.1118139608542279E-2</v>
      </c>
      <c r="H117" s="12">
        <f t="shared" si="18"/>
        <v>-2.7534553569630305E-5</v>
      </c>
      <c r="I117" s="12">
        <f>2</f>
        <v>2</v>
      </c>
      <c r="J117" s="12">
        <f t="shared" si="19"/>
        <v>0.54960801260965386</v>
      </c>
      <c r="K117" s="12">
        <f t="shared" si="11"/>
        <v>1.2500135181629209E-2</v>
      </c>
      <c r="L117" s="12">
        <f t="shared" si="20"/>
        <v>3.9271001705386277E-5</v>
      </c>
      <c r="M117" s="7" t="str">
        <f t="shared" si="21"/>
        <v>no</v>
      </c>
    </row>
    <row r="118" spans="1:13" x14ac:dyDescent="0.35">
      <c r="A118" s="7">
        <v>103</v>
      </c>
      <c r="B118" s="12">
        <f t="shared" si="12"/>
        <v>-6.1050709320653596E-4</v>
      </c>
      <c r="C118" s="12">
        <f t="shared" si="13"/>
        <v>49</v>
      </c>
      <c r="D118" s="12">
        <f t="shared" si="14"/>
        <v>0.74964525303629925</v>
      </c>
      <c r="E118" s="12">
        <f t="shared" si="15"/>
        <v>2.6556974214386742E-4</v>
      </c>
      <c r="F118" s="12">
        <f t="shared" si="16"/>
        <v>7</v>
      </c>
      <c r="G118" s="12">
        <f t="shared" si="17"/>
        <v>5.1080201073950296E-2</v>
      </c>
      <c r="H118" s="12">
        <f t="shared" si="18"/>
        <v>-2.660030474732622E-5</v>
      </c>
      <c r="I118" s="12">
        <f>2</f>
        <v>2</v>
      </c>
      <c r="J118" s="12">
        <f t="shared" si="19"/>
        <v>0.54962131276202753</v>
      </c>
      <c r="K118" s="12">
        <f t="shared" si="11"/>
        <v>1.2500126163817578E-2</v>
      </c>
      <c r="L118" s="12">
        <f t="shared" si="20"/>
        <v>3.7938534591983042E-5</v>
      </c>
      <c r="M118" s="7" t="str">
        <f t="shared" si="21"/>
        <v>no</v>
      </c>
    </row>
    <row r="119" spans="1:13" x14ac:dyDescent="0.35">
      <c r="A119" s="7">
        <v>104</v>
      </c>
      <c r="B119" s="12">
        <f t="shared" si="12"/>
        <v>-5.8979255603475167E-4</v>
      </c>
      <c r="C119" s="12">
        <f t="shared" si="13"/>
        <v>49</v>
      </c>
      <c r="D119" s="12">
        <f t="shared" si="14"/>
        <v>0.74965728961907552</v>
      </c>
      <c r="E119" s="12">
        <f t="shared" si="15"/>
        <v>2.5655894709331051E-4</v>
      </c>
      <c r="F119" s="12">
        <f t="shared" si="16"/>
        <v>7</v>
      </c>
      <c r="G119" s="12">
        <f t="shared" si="17"/>
        <v>5.1043549795794112E-2</v>
      </c>
      <c r="H119" s="12">
        <f t="shared" si="18"/>
        <v>-2.5697755034137515E-5</v>
      </c>
      <c r="I119" s="12">
        <f>2</f>
        <v>2</v>
      </c>
      <c r="J119" s="12">
        <f t="shared" si="19"/>
        <v>0.54963416163954459</v>
      </c>
      <c r="K119" s="12">
        <f t="shared" si="11"/>
        <v>1.2500117747573791E-2</v>
      </c>
      <c r="L119" s="12">
        <f t="shared" si="20"/>
        <v>3.6651278156184242E-5</v>
      </c>
      <c r="M119" s="7" t="str">
        <f t="shared" si="21"/>
        <v>no</v>
      </c>
    </row>
    <row r="120" spans="1:13" x14ac:dyDescent="0.35">
      <c r="A120" s="7">
        <v>105</v>
      </c>
      <c r="B120" s="12">
        <f t="shared" si="12"/>
        <v>-5.6978086419690044E-4</v>
      </c>
      <c r="C120" s="12">
        <f t="shared" si="13"/>
        <v>49</v>
      </c>
      <c r="D120" s="12">
        <f t="shared" si="14"/>
        <v>0.74966891779997746</v>
      </c>
      <c r="E120" s="12">
        <f t="shared" si="15"/>
        <v>2.4785388878711956E-4</v>
      </c>
      <c r="F120" s="12">
        <f t="shared" si="16"/>
        <v>7</v>
      </c>
      <c r="G120" s="12">
        <f t="shared" si="17"/>
        <v>5.1008142097395952E-2</v>
      </c>
      <c r="H120" s="12">
        <f t="shared" si="18"/>
        <v>-2.4825828880636891E-5</v>
      </c>
      <c r="I120" s="12">
        <f>2</f>
        <v>2</v>
      </c>
      <c r="J120" s="12">
        <f t="shared" si="19"/>
        <v>0.54964657455398491</v>
      </c>
      <c r="K120" s="12">
        <f t="shared" si="11"/>
        <v>1.2500109892768001E-2</v>
      </c>
      <c r="L120" s="12">
        <f t="shared" si="20"/>
        <v>3.5407698398159937E-5</v>
      </c>
      <c r="M120" s="7" t="str">
        <f t="shared" si="21"/>
        <v>no</v>
      </c>
    </row>
    <row r="121" spans="1:13" x14ac:dyDescent="0.35">
      <c r="A121" s="7">
        <v>106</v>
      </c>
      <c r="B121" s="12">
        <f t="shared" si="12"/>
        <v>-5.5044817008109703E-4</v>
      </c>
      <c r="C121" s="12">
        <f t="shared" si="13"/>
        <v>49</v>
      </c>
      <c r="D121" s="12">
        <f t="shared" si="14"/>
        <v>0.74968015143610156</v>
      </c>
      <c r="E121" s="12">
        <f t="shared" si="15"/>
        <v>2.3944419355359514E-4</v>
      </c>
      <c r="F121" s="12">
        <f t="shared" si="16"/>
        <v>7</v>
      </c>
      <c r="G121" s="12">
        <f t="shared" si="17"/>
        <v>5.097393578403115E-2</v>
      </c>
      <c r="H121" s="12">
        <f t="shared" si="18"/>
        <v>-2.3983487225542888E-5</v>
      </c>
      <c r="I121" s="12">
        <f>2</f>
        <v>2</v>
      </c>
      <c r="J121" s="12">
        <f t="shared" si="19"/>
        <v>0.54965856629759768</v>
      </c>
      <c r="K121" s="12">
        <f t="shared" si="11"/>
        <v>1.2500102561947274E-2</v>
      </c>
      <c r="L121" s="12">
        <f t="shared" si="20"/>
        <v>3.4206313364801288E-5</v>
      </c>
      <c r="M121" s="7" t="str">
        <f t="shared" si="21"/>
        <v>no</v>
      </c>
    </row>
    <row r="122" spans="1:13" x14ac:dyDescent="0.35">
      <c r="A122" s="7">
        <v>107</v>
      </c>
      <c r="B122" s="12">
        <f t="shared" si="12"/>
        <v>-5.3177143527705084E-4</v>
      </c>
      <c r="C122" s="12">
        <f t="shared" si="13"/>
        <v>49</v>
      </c>
      <c r="D122" s="12">
        <f t="shared" si="14"/>
        <v>0.74969100391437249</v>
      </c>
      <c r="E122" s="12">
        <f t="shared" si="15"/>
        <v>2.3131983971502734E-4</v>
      </c>
      <c r="F122" s="12">
        <f t="shared" si="16"/>
        <v>7</v>
      </c>
      <c r="G122" s="12">
        <f t="shared" si="17"/>
        <v>5.0940890092643291E-2</v>
      </c>
      <c r="H122" s="12">
        <f t="shared" si="18"/>
        <v>-2.3169726267369128E-5</v>
      </c>
      <c r="I122" s="12">
        <f>2</f>
        <v>2</v>
      </c>
      <c r="J122" s="12">
        <f t="shared" si="19"/>
        <v>0.54967015116073137</v>
      </c>
      <c r="K122" s="12">
        <f t="shared" si="11"/>
        <v>1.2500095720157253E-2</v>
      </c>
      <c r="L122" s="12">
        <f t="shared" si="20"/>
        <v>3.3045691387859066E-5</v>
      </c>
      <c r="M122" s="7" t="str">
        <f t="shared" si="21"/>
        <v>no</v>
      </c>
    </row>
    <row r="123" spans="1:13" x14ac:dyDescent="0.35">
      <c r="A123" s="7">
        <v>108</v>
      </c>
      <c r="B123" s="12">
        <f t="shared" si="12"/>
        <v>-5.1372840304253486E-4</v>
      </c>
      <c r="C123" s="12">
        <f t="shared" si="13"/>
        <v>49</v>
      </c>
      <c r="D123" s="12">
        <f t="shared" si="14"/>
        <v>0.74970148816749582</v>
      </c>
      <c r="E123" s="12">
        <f t="shared" si="15"/>
        <v>2.2347114562215609E-4</v>
      </c>
      <c r="F123" s="12">
        <f t="shared" si="16"/>
        <v>7</v>
      </c>
      <c r="G123" s="12">
        <f t="shared" si="17"/>
        <v>5.0908965643268696E-2</v>
      </c>
      <c r="H123" s="12">
        <f t="shared" si="18"/>
        <v>-2.2383576260054383E-5</v>
      </c>
      <c r="I123" s="12">
        <f>2</f>
        <v>2</v>
      </c>
      <c r="J123" s="12">
        <f t="shared" si="19"/>
        <v>0.5496813429488614</v>
      </c>
      <c r="K123" s="12">
        <f t="shared" si="11"/>
        <v>1.250008933477516E-2</v>
      </c>
      <c r="L123" s="12">
        <f t="shared" si="20"/>
        <v>3.1924449374595709E-5</v>
      </c>
      <c r="M123" s="7" t="str">
        <f t="shared" si="21"/>
        <v>no</v>
      </c>
    </row>
    <row r="124" spans="1:13" x14ac:dyDescent="0.35">
      <c r="A124" s="7">
        <v>109</v>
      </c>
      <c r="B124" s="12">
        <f t="shared" si="12"/>
        <v>-4.962975718356688E-4</v>
      </c>
      <c r="C124" s="12">
        <f t="shared" si="13"/>
        <v>49</v>
      </c>
      <c r="D124" s="12">
        <f t="shared" si="14"/>
        <v>0.74971161668937003</v>
      </c>
      <c r="E124" s="12">
        <f t="shared" si="15"/>
        <v>2.1588875812561525E-4</v>
      </c>
      <c r="F124" s="12">
        <f t="shared" si="16"/>
        <v>7</v>
      </c>
      <c r="G124" s="12">
        <f t="shared" si="17"/>
        <v>5.0878124392107892E-2</v>
      </c>
      <c r="H124" s="12">
        <f t="shared" si="18"/>
        <v>-2.1624100363659693E-5</v>
      </c>
      <c r="I124" s="12">
        <f>2</f>
        <v>2</v>
      </c>
      <c r="J124" s="12">
        <f t="shared" si="19"/>
        <v>0.54969215499904323</v>
      </c>
      <c r="K124" s="12">
        <f t="shared" si="11"/>
        <v>1.2500083375354623E-2</v>
      </c>
      <c r="L124" s="12">
        <f t="shared" si="20"/>
        <v>3.0841251160804162E-5</v>
      </c>
      <c r="M124" s="7" t="str">
        <f t="shared" si="21"/>
        <v>no</v>
      </c>
    </row>
    <row r="125" spans="1:13" x14ac:dyDescent="0.35">
      <c r="A125" s="7">
        <v>110</v>
      </c>
      <c r="B125" s="12">
        <f t="shared" si="12"/>
        <v>-4.7945816962169374E-4</v>
      </c>
      <c r="C125" s="12">
        <f t="shared" si="13"/>
        <v>49</v>
      </c>
      <c r="D125" s="12">
        <f t="shared" si="14"/>
        <v>0.74972140154997458</v>
      </c>
      <c r="E125" s="12">
        <f t="shared" si="15"/>
        <v>2.0856364142751715E-4</v>
      </c>
      <c r="F125" s="12">
        <f t="shared" si="16"/>
        <v>7</v>
      </c>
      <c r="G125" s="12">
        <f t="shared" si="17"/>
        <v>5.0848329586189678E-2</v>
      </c>
      <c r="H125" s="12">
        <f t="shared" si="18"/>
        <v>-2.0890393522599027E-5</v>
      </c>
      <c r="I125" s="12">
        <f>2</f>
        <v>2</v>
      </c>
      <c r="J125" s="12">
        <f t="shared" si="19"/>
        <v>0.54970260019580452</v>
      </c>
      <c r="K125" s="12">
        <f t="shared" si="11"/>
        <v>1.2500077813480177E-2</v>
      </c>
      <c r="L125" s="12">
        <f t="shared" si="20"/>
        <v>2.9794805918213763E-5</v>
      </c>
      <c r="M125" s="7" t="str">
        <f t="shared" si="21"/>
        <v>no</v>
      </c>
    </row>
    <row r="126" spans="1:13" x14ac:dyDescent="0.35">
      <c r="A126" s="7">
        <v>111</v>
      </c>
      <c r="B126" s="12">
        <f t="shared" si="12"/>
        <v>-4.6319012919582292E-4</v>
      </c>
      <c r="C126" s="12">
        <f t="shared" si="13"/>
        <v>49</v>
      </c>
      <c r="D126" s="12">
        <f t="shared" si="14"/>
        <v>0.74973085440975407</v>
      </c>
      <c r="E126" s="12">
        <f t="shared" si="15"/>
        <v>2.0148706631495372E-4</v>
      </c>
      <c r="F126" s="12">
        <f t="shared" si="16"/>
        <v>7</v>
      </c>
      <c r="G126" s="12">
        <f t="shared" si="17"/>
        <v>5.0819545719573256E-2</v>
      </c>
      <c r="H126" s="12">
        <f t="shared" si="18"/>
        <v>-2.018158139271975E-5</v>
      </c>
      <c r="I126" s="12">
        <f>2</f>
        <v>2</v>
      </c>
      <c r="J126" s="12">
        <f t="shared" si="19"/>
        <v>0.54971269098650088</v>
      </c>
      <c r="K126" s="12">
        <f t="shared" si="11"/>
        <v>1.2500072622632063E-2</v>
      </c>
      <c r="L126" s="12">
        <f t="shared" si="20"/>
        <v>2.878386661642196E-5</v>
      </c>
      <c r="M126" s="7" t="str">
        <f t="shared" si="21"/>
        <v>no</v>
      </c>
    </row>
    <row r="127" spans="1:13" x14ac:dyDescent="0.35">
      <c r="A127" s="7">
        <v>112</v>
      </c>
      <c r="B127" s="12">
        <f t="shared" si="12"/>
        <v>-4.474740642237407E-4</v>
      </c>
      <c r="C127" s="12">
        <f t="shared" si="13"/>
        <v>49</v>
      </c>
      <c r="D127" s="12">
        <f t="shared" si="14"/>
        <v>0.7497399865335137</v>
      </c>
      <c r="E127" s="12">
        <f t="shared" si="15"/>
        <v>1.9465059976120358E-4</v>
      </c>
      <c r="F127" s="12">
        <f t="shared" si="16"/>
        <v>7</v>
      </c>
      <c r="G127" s="12">
        <f t="shared" si="17"/>
        <v>5.0791738491035944E-2</v>
      </c>
      <c r="H127" s="12">
        <f t="shared" si="18"/>
        <v>-1.9496819294140266E-5</v>
      </c>
      <c r="I127" s="12">
        <f>2</f>
        <v>2</v>
      </c>
      <c r="J127" s="12">
        <f t="shared" si="19"/>
        <v>0.54972243939614795</v>
      </c>
      <c r="K127" s="12">
        <f t="shared" si="11"/>
        <v>1.2500067778059436E-2</v>
      </c>
      <c r="L127" s="12">
        <f t="shared" si="20"/>
        <v>2.7807228537311823E-5</v>
      </c>
      <c r="M127" s="7" t="str">
        <f t="shared" si="21"/>
        <v>no</v>
      </c>
    </row>
    <row r="128" spans="1:13" x14ac:dyDescent="0.35">
      <c r="A128" s="7">
        <v>113</v>
      </c>
      <c r="B128" s="12">
        <f t="shared" si="12"/>
        <v>-4.3229124614185821E-4</v>
      </c>
      <c r="C128" s="12">
        <f t="shared" si="13"/>
        <v>49</v>
      </c>
      <c r="D128" s="12">
        <f t="shared" si="14"/>
        <v>0.74974880880384309</v>
      </c>
      <c r="E128" s="12">
        <f t="shared" si="15"/>
        <v>1.8804609486977597E-4</v>
      </c>
      <c r="F128" s="12">
        <f t="shared" si="16"/>
        <v>7</v>
      </c>
      <c r="G128" s="12">
        <f t="shared" si="17"/>
        <v>5.0764874763197403E-2</v>
      </c>
      <c r="H128" s="12">
        <f t="shared" si="18"/>
        <v>-1.8835291210272942E-5</v>
      </c>
      <c r="I128" s="12">
        <f>2</f>
        <v>2</v>
      </c>
      <c r="J128" s="12">
        <f t="shared" si="19"/>
        <v>0.54973185704175309</v>
      </c>
      <c r="K128" s="12">
        <f t="shared" si="11"/>
        <v>1.2500063256662737E-2</v>
      </c>
      <c r="L128" s="12">
        <f t="shared" si="20"/>
        <v>2.6863727838541407E-5</v>
      </c>
      <c r="M128" s="7" t="str">
        <f t="shared" si="21"/>
        <v>no</v>
      </c>
    </row>
    <row r="129" spans="1:13" x14ac:dyDescent="0.35">
      <c r="A129" s="7">
        <v>114</v>
      </c>
      <c r="B129" s="12">
        <f t="shared" si="12"/>
        <v>-4.1762358186758775E-4</v>
      </c>
      <c r="C129" s="12">
        <f t="shared" si="13"/>
        <v>49</v>
      </c>
      <c r="D129" s="12">
        <f t="shared" si="14"/>
        <v>0.74975733173408532</v>
      </c>
      <c r="E129" s="12">
        <f t="shared" si="15"/>
        <v>1.8166568117727877E-4</v>
      </c>
      <c r="F129" s="12">
        <f t="shared" si="16"/>
        <v>7</v>
      </c>
      <c r="G129" s="12">
        <f t="shared" si="17"/>
        <v>5.0738922523029223E-2</v>
      </c>
      <c r="H129" s="12">
        <f t="shared" si="18"/>
        <v>-1.8196208809051484E-5</v>
      </c>
      <c r="I129" s="12">
        <f>2</f>
        <v>2</v>
      </c>
      <c r="J129" s="12">
        <f t="shared" si="19"/>
        <v>0.54974095514615762</v>
      </c>
      <c r="K129" s="12">
        <f t="shared" si="11"/>
        <v>1.2500059036883194E-2</v>
      </c>
      <c r="L129" s="12">
        <f t="shared" si="20"/>
        <v>2.5952240168179708E-5</v>
      </c>
      <c r="M129" s="7" t="str">
        <f t="shared" si="21"/>
        <v>no</v>
      </c>
    </row>
    <row r="130" spans="1:13" x14ac:dyDescent="0.35">
      <c r="A130" s="7">
        <v>115</v>
      </c>
      <c r="B130" s="12">
        <f t="shared" si="12"/>
        <v>-4.0345359218463273E-4</v>
      </c>
      <c r="C130" s="12">
        <f t="shared" si="13"/>
        <v>49</v>
      </c>
      <c r="D130" s="12">
        <f t="shared" si="14"/>
        <v>0.74976556548086459</v>
      </c>
      <c r="E130" s="12">
        <f t="shared" si="15"/>
        <v>1.755017552405036E-4</v>
      </c>
      <c r="F130" s="12">
        <f t="shared" si="16"/>
        <v>7</v>
      </c>
      <c r="G130" s="12">
        <f t="shared" si="17"/>
        <v>5.0713850843709149E-2</v>
      </c>
      <c r="H130" s="12">
        <f t="shared" si="18"/>
        <v>-1.757881050501453E-5</v>
      </c>
      <c r="I130" s="12">
        <f>2</f>
        <v>2</v>
      </c>
      <c r="J130" s="12">
        <f t="shared" si="19"/>
        <v>0.54974974455141012</v>
      </c>
      <c r="K130" s="12">
        <f t="shared" si="11"/>
        <v>1.2500055098600301E-2</v>
      </c>
      <c r="L130" s="12">
        <f t="shared" si="20"/>
        <v>2.5071679320073925E-5</v>
      </c>
      <c r="M130" s="7" t="str">
        <f t="shared" si="21"/>
        <v>no</v>
      </c>
    </row>
    <row r="131" spans="1:13" x14ac:dyDescent="0.35">
      <c r="A131" s="7">
        <v>116</v>
      </c>
      <c r="B131" s="12">
        <f t="shared" si="12"/>
        <v>-3.8976439100224525E-4</v>
      </c>
      <c r="C131" s="12">
        <f t="shared" si="13"/>
        <v>49</v>
      </c>
      <c r="D131" s="12">
        <f t="shared" si="14"/>
        <v>0.74977351985619112</v>
      </c>
      <c r="E131" s="12">
        <f t="shared" si="15"/>
        <v>1.6954697163384935E-4</v>
      </c>
      <c r="F131" s="12">
        <f t="shared" si="16"/>
        <v>7</v>
      </c>
      <c r="G131" s="12">
        <f t="shared" si="17"/>
        <v>5.0689629847761458E-2</v>
      </c>
      <c r="H131" s="12">
        <f t="shared" si="18"/>
        <v>-1.6982360557804554E-5</v>
      </c>
      <c r="I131" s="12">
        <f>2</f>
        <v>2</v>
      </c>
      <c r="J131" s="12">
        <f t="shared" si="19"/>
        <v>0.54975823573168903</v>
      </c>
      <c r="K131" s="12">
        <f t="shared" si="11"/>
        <v>1.2500051423035808E-2</v>
      </c>
      <c r="L131" s="12">
        <f t="shared" si="20"/>
        <v>2.4220995947690782E-5</v>
      </c>
      <c r="M131" s="7" t="str">
        <f t="shared" si="21"/>
        <v>no</v>
      </c>
    </row>
    <row r="132" spans="1:13" x14ac:dyDescent="0.35">
      <c r="A132" s="7">
        <v>117</v>
      </c>
      <c r="B132" s="12">
        <f t="shared" si="12"/>
        <v>-3.7653966510475811E-4</v>
      </c>
      <c r="C132" s="12">
        <f t="shared" si="13"/>
        <v>49</v>
      </c>
      <c r="D132" s="12">
        <f t="shared" si="14"/>
        <v>0.74978120433915241</v>
      </c>
      <c r="E132" s="12">
        <f t="shared" si="15"/>
        <v>1.6379423414036864E-4</v>
      </c>
      <c r="F132" s="12">
        <f t="shared" si="16"/>
        <v>7</v>
      </c>
      <c r="G132" s="12">
        <f t="shared" si="17"/>
        <v>5.0666230671455689E-2</v>
      </c>
      <c r="H132" s="12">
        <f t="shared" si="18"/>
        <v>-1.6406148187542158E-5</v>
      </c>
      <c r="I132" s="12">
        <f>2</f>
        <v>2</v>
      </c>
      <c r="J132" s="12">
        <f t="shared" si="19"/>
        <v>0.5497664388057828</v>
      </c>
      <c r="K132" s="12">
        <f t="shared" si="11"/>
        <v>1.2500047992663946E-2</v>
      </c>
      <c r="L132" s="12">
        <f t="shared" si="20"/>
        <v>2.3399176305768932E-5</v>
      </c>
      <c r="M132" s="7" t="str">
        <f t="shared" si="21"/>
        <v>no</v>
      </c>
    </row>
    <row r="133" spans="1:13" x14ac:dyDescent="0.35">
      <c r="A133" s="7">
        <v>118</v>
      </c>
      <c r="B133" s="12">
        <f t="shared" si="12"/>
        <v>-3.6376365485324413E-4</v>
      </c>
      <c r="C133" s="12">
        <f t="shared" si="13"/>
        <v>49</v>
      </c>
      <c r="D133" s="12">
        <f t="shared" si="14"/>
        <v>0.74978862808721058</v>
      </c>
      <c r="E133" s="12">
        <f t="shared" si="15"/>
        <v>1.5823668732828367E-4</v>
      </c>
      <c r="F133" s="12">
        <f t="shared" si="16"/>
        <v>7</v>
      </c>
      <c r="G133" s="12">
        <f t="shared" si="17"/>
        <v>5.064362543040879E-2</v>
      </c>
      <c r="H133" s="12">
        <f t="shared" si="18"/>
        <v>-1.5849486733721108E-5</v>
      </c>
      <c r="I133" s="12">
        <f>2</f>
        <v>2</v>
      </c>
      <c r="J133" s="12">
        <f t="shared" si="19"/>
        <v>0.54977436354914966</v>
      </c>
      <c r="K133" s="12">
        <f t="shared" si="11"/>
        <v>1.2500044791128314E-2</v>
      </c>
      <c r="L133" s="12">
        <f t="shared" si="20"/>
        <v>2.2605241046899649E-5</v>
      </c>
      <c r="M133" s="7" t="str">
        <f t="shared" si="21"/>
        <v>no</v>
      </c>
    </row>
    <row r="134" spans="1:13" x14ac:dyDescent="0.35">
      <c r="A134" s="7">
        <v>119</v>
      </c>
      <c r="B134" s="12">
        <f t="shared" si="12"/>
        <v>-3.5142113527797392E-4</v>
      </c>
      <c r="C134" s="12">
        <f t="shared" si="13"/>
        <v>49</v>
      </c>
      <c r="D134" s="12">
        <f t="shared" si="14"/>
        <v>0.74979579994711421</v>
      </c>
      <c r="E134" s="12">
        <f t="shared" si="15"/>
        <v>1.5286770836731023E-4</v>
      </c>
      <c r="F134" s="12">
        <f t="shared" si="16"/>
        <v>7</v>
      </c>
      <c r="G134" s="12">
        <f t="shared" si="17"/>
        <v>5.0621787186356314E-2</v>
      </c>
      <c r="H134" s="12">
        <f t="shared" si="18"/>
        <v>-1.531171283275512E-5</v>
      </c>
      <c r="I134" s="12">
        <f>2</f>
        <v>2</v>
      </c>
      <c r="J134" s="12">
        <f t="shared" si="19"/>
        <v>0.54978201940556604</v>
      </c>
      <c r="K134" s="12">
        <f t="shared" si="11"/>
        <v>1.2500041803163423E-2</v>
      </c>
      <c r="L134" s="12">
        <f t="shared" si="20"/>
        <v>2.1838244052475864E-5</v>
      </c>
      <c r="M134" s="7" t="str">
        <f t="shared" si="21"/>
        <v>no</v>
      </c>
    </row>
    <row r="135" spans="1:13" x14ac:dyDescent="0.35">
      <c r="A135" s="7">
        <v>120</v>
      </c>
      <c r="B135" s="12">
        <f t="shared" si="12"/>
        <v>-3.3949739802352497E-4</v>
      </c>
      <c r="C135" s="12">
        <f t="shared" si="13"/>
        <v>49</v>
      </c>
      <c r="D135" s="12">
        <f t="shared" si="14"/>
        <v>0.74980272846544127</v>
      </c>
      <c r="E135" s="12">
        <f t="shared" si="15"/>
        <v>1.4768089913630433E-4</v>
      </c>
      <c r="F135" s="12">
        <f t="shared" si="16"/>
        <v>7</v>
      </c>
      <c r="G135" s="12">
        <f t="shared" si="17"/>
        <v>5.0600689915051129E-2</v>
      </c>
      <c r="H135" s="12">
        <f t="shared" si="18"/>
        <v>-1.4792185625722709E-5</v>
      </c>
      <c r="I135" s="12">
        <f>2</f>
        <v>2</v>
      </c>
      <c r="J135" s="12">
        <f t="shared" si="19"/>
        <v>0.5497894154983789</v>
      </c>
      <c r="K135" s="12">
        <f t="shared" si="11"/>
        <v>1.250003901452227E-2</v>
      </c>
      <c r="L135" s="12">
        <f t="shared" si="20"/>
        <v>2.1097271305184351E-5</v>
      </c>
      <c r="M135" s="7" t="str">
        <f t="shared" si="21"/>
        <v>no</v>
      </c>
    </row>
    <row r="136" spans="1:13" x14ac:dyDescent="0.35">
      <c r="A136" s="7">
        <v>121</v>
      </c>
      <c r="B136" s="12">
        <f t="shared" si="12"/>
        <v>-3.2797823380548152E-4</v>
      </c>
      <c r="C136" s="12">
        <f t="shared" si="13"/>
        <v>49</v>
      </c>
      <c r="D136" s="12">
        <f t="shared" si="14"/>
        <v>0.74980942189878419</v>
      </c>
      <c r="E136" s="12">
        <f t="shared" si="15"/>
        <v>1.4267007860979675E-4</v>
      </c>
      <c r="F136" s="12">
        <f t="shared" si="16"/>
        <v>7</v>
      </c>
      <c r="G136" s="12">
        <f t="shared" si="17"/>
        <v>5.0580308475249733E-2</v>
      </c>
      <c r="H136" s="12">
        <f t="shared" si="18"/>
        <v>-1.4290286003415531E-5</v>
      </c>
      <c r="I136" s="12">
        <f>2</f>
        <v>2</v>
      </c>
      <c r="J136" s="12">
        <f t="shared" si="19"/>
        <v>0.54979656064138061</v>
      </c>
      <c r="K136" s="12">
        <f t="shared" si="11"/>
        <v>1.250003641190817E-2</v>
      </c>
      <c r="L136" s="12">
        <f t="shared" si="20"/>
        <v>2.0381439801396561E-5</v>
      </c>
      <c r="M136" s="7" t="str">
        <f t="shared" si="21"/>
        <v>no</v>
      </c>
    </row>
    <row r="137" spans="1:13" x14ac:dyDescent="0.35">
      <c r="A137" s="7">
        <v>122</v>
      </c>
      <c r="B137" s="12">
        <f t="shared" si="12"/>
        <v>-3.1684991541425234E-4</v>
      </c>
      <c r="C137" s="12">
        <f t="shared" si="13"/>
        <v>49</v>
      </c>
      <c r="D137" s="12">
        <f t="shared" si="14"/>
        <v>0.74981588822358858</v>
      </c>
      <c r="E137" s="12">
        <f t="shared" si="15"/>
        <v>1.3782927548433577E-4</v>
      </c>
      <c r="F137" s="12">
        <f t="shared" si="16"/>
        <v>7</v>
      </c>
      <c r="G137" s="12">
        <f t="shared" si="17"/>
        <v>5.0560618578751972E-2</v>
      </c>
      <c r="H137" s="12">
        <f t="shared" si="18"/>
        <v>-1.3805415862933046E-5</v>
      </c>
      <c r="I137" s="12">
        <f>2</f>
        <v>2</v>
      </c>
      <c r="J137" s="12">
        <f t="shared" si="19"/>
        <v>0.54980346334931207</v>
      </c>
      <c r="K137" s="12">
        <f t="shared" si="11"/>
        <v>1.250003398291147E-2</v>
      </c>
      <c r="L137" s="12">
        <f t="shared" si="20"/>
        <v>1.9689896497761261E-5</v>
      </c>
      <c r="M137" s="7" t="str">
        <f t="shared" si="21"/>
        <v>no</v>
      </c>
    </row>
    <row r="138" spans="1:13" x14ac:dyDescent="0.35">
      <c r="A138" s="7">
        <v>123</v>
      </c>
      <c r="B138" s="12">
        <f t="shared" si="12"/>
        <v>-3.0609918143653658E-4</v>
      </c>
      <c r="C138" s="12">
        <f t="shared" si="13"/>
        <v>49</v>
      </c>
      <c r="D138" s="12">
        <f t="shared" si="14"/>
        <v>0.74982213514565876</v>
      </c>
      <c r="E138" s="12">
        <f t="shared" si="15"/>
        <v>1.3315272105884901E-4</v>
      </c>
      <c r="F138" s="12">
        <f t="shared" si="16"/>
        <v>7</v>
      </c>
      <c r="G138" s="12">
        <f t="shared" si="17"/>
        <v>5.0541596761457849E-2</v>
      </c>
      <c r="H138" s="12">
        <f t="shared" si="18"/>
        <v>-1.3336997390922534E-5</v>
      </c>
      <c r="I138" s="12">
        <f>2</f>
        <v>2</v>
      </c>
      <c r="J138" s="12">
        <f t="shared" si="19"/>
        <v>0.54981013184800753</v>
      </c>
      <c r="K138" s="12">
        <f t="shared" si="11"/>
        <v>1.2500031715950341E-2</v>
      </c>
      <c r="L138" s="12">
        <f t="shared" si="20"/>
        <v>1.9021817294122279E-5</v>
      </c>
      <c r="M138" s="7" t="str">
        <f t="shared" si="21"/>
        <v>no</v>
      </c>
    </row>
    <row r="139" spans="1:13" x14ac:dyDescent="0.35">
      <c r="A139" s="7">
        <v>124</v>
      </c>
      <c r="B139" s="12">
        <f t="shared" si="12"/>
        <v>-2.9571322043153714E-4</v>
      </c>
      <c r="C139" s="12">
        <f t="shared" si="13"/>
        <v>49</v>
      </c>
      <c r="D139" s="12">
        <f t="shared" si="14"/>
        <v>0.749828170109341</v>
      </c>
      <c r="E139" s="12">
        <f t="shared" si="15"/>
        <v>1.2863484236547151E-4</v>
      </c>
      <c r="F139" s="12">
        <f t="shared" si="16"/>
        <v>7</v>
      </c>
      <c r="G139" s="12">
        <f t="shared" si="17"/>
        <v>5.0523220355405636E-2</v>
      </c>
      <c r="H139" s="12">
        <f t="shared" si="18"/>
        <v>-1.2884472380569889E-5</v>
      </c>
      <c r="I139" s="12">
        <f>2</f>
        <v>2</v>
      </c>
      <c r="J139" s="12">
        <f t="shared" si="19"/>
        <v>0.54981657408419782</v>
      </c>
      <c r="K139" s="12">
        <f t="shared" si="11"/>
        <v>1.2500029600215635E-2</v>
      </c>
      <c r="L139" s="12">
        <f t="shared" si="20"/>
        <v>1.837640605221319E-5</v>
      </c>
      <c r="M139" s="7" t="str">
        <f t="shared" si="21"/>
        <v>no</v>
      </c>
    </row>
    <row r="140" spans="1:13" x14ac:dyDescent="0.35">
      <c r="A140" s="7">
        <v>125</v>
      </c>
      <c r="B140" s="12">
        <f t="shared" si="12"/>
        <v>-2.8567965560455377E-4</v>
      </c>
      <c r="C140" s="12">
        <f t="shared" si="13"/>
        <v>49</v>
      </c>
      <c r="D140" s="12">
        <f t="shared" si="14"/>
        <v>0.74983400030639413</v>
      </c>
      <c r="E140" s="12">
        <f t="shared" si="15"/>
        <v>1.2427025552597115E-4</v>
      </c>
      <c r="F140" s="12">
        <f t="shared" si="16"/>
        <v>7</v>
      </c>
      <c r="G140" s="12">
        <f t="shared" si="17"/>
        <v>5.0505467461759067E-2</v>
      </c>
      <c r="H140" s="12">
        <f t="shared" si="18"/>
        <v>-1.2447301568130342E-5</v>
      </c>
      <c r="I140" s="12">
        <f>2</f>
        <v>2</v>
      </c>
      <c r="J140" s="12">
        <f t="shared" si="19"/>
        <v>0.54982279773498188</v>
      </c>
      <c r="K140" s="12">
        <f t="shared" si="11"/>
        <v>1.250002762561918E-2</v>
      </c>
      <c r="L140" s="12">
        <f t="shared" si="20"/>
        <v>1.775289364656929E-5</v>
      </c>
      <c r="M140" s="7" t="str">
        <f t="shared" si="21"/>
        <v>no</v>
      </c>
    </row>
    <row r="141" spans="1:13" x14ac:dyDescent="0.35">
      <c r="A141" s="7">
        <v>126</v>
      </c>
      <c r="B141" s="12">
        <f t="shared" si="12"/>
        <v>-2.7598653014848651E-4</v>
      </c>
      <c r="C141" s="12">
        <f t="shared" si="13"/>
        <v>49</v>
      </c>
      <c r="D141" s="12">
        <f t="shared" si="14"/>
        <v>0.74983963268456044</v>
      </c>
      <c r="E141" s="12">
        <f t="shared" si="15"/>
        <v>1.2005375934620588E-4</v>
      </c>
      <c r="F141" s="12">
        <f t="shared" si="16"/>
        <v>7</v>
      </c>
      <c r="G141" s="12">
        <f t="shared" si="17"/>
        <v>5.0488316924709606E-2</v>
      </c>
      <c r="H141" s="12">
        <f t="shared" si="18"/>
        <v>-1.2024963984558212E-5</v>
      </c>
      <c r="I141" s="12">
        <f>2</f>
        <v>2</v>
      </c>
      <c r="J141" s="12">
        <f t="shared" si="19"/>
        <v>0.54982881021697416</v>
      </c>
      <c r="K141" s="12">
        <f t="shared" si="11"/>
        <v>1.2500025782745765E-2</v>
      </c>
      <c r="L141" s="12">
        <f t="shared" si="20"/>
        <v>1.7150537049460957E-5</v>
      </c>
      <c r="M141" s="7" t="str">
        <f t="shared" si="21"/>
        <v>no</v>
      </c>
    </row>
    <row r="142" spans="1:13" x14ac:dyDescent="0.35">
      <c r="A142" s="7">
        <v>127</v>
      </c>
      <c r="B142" s="12">
        <f t="shared" si="12"/>
        <v>-2.6662229294061035E-4</v>
      </c>
      <c r="C142" s="12">
        <f t="shared" si="13"/>
        <v>49</v>
      </c>
      <c r="D142" s="12">
        <f t="shared" si="14"/>
        <v>0.74984507395584499</v>
      </c>
      <c r="E142" s="12">
        <f t="shared" si="15"/>
        <v>1.1598032909887479E-4</v>
      </c>
      <c r="F142" s="12">
        <f t="shared" si="16"/>
        <v>7</v>
      </c>
      <c r="G142" s="12">
        <f t="shared" si="17"/>
        <v>5.0471748306266911E-2</v>
      </c>
      <c r="H142" s="12">
        <f t="shared" si="18"/>
        <v>-1.161695633555837E-5</v>
      </c>
      <c r="I142" s="12">
        <f>2</f>
        <v>2</v>
      </c>
      <c r="J142" s="12">
        <f t="shared" si="19"/>
        <v>0.54983461869514194</v>
      </c>
      <c r="K142" s="12">
        <f t="shared" si="11"/>
        <v>1.2500024062808323E-2</v>
      </c>
      <c r="L142" s="12">
        <f t="shared" si="20"/>
        <v>1.6568618442694416E-5</v>
      </c>
      <c r="M142" s="7" t="str">
        <f t="shared" si="21"/>
        <v>no</v>
      </c>
    </row>
    <row r="143" spans="1:13" x14ac:dyDescent="0.35">
      <c r="A143" s="7">
        <v>128</v>
      </c>
      <c r="B143" s="12">
        <f t="shared" si="12"/>
        <v>-2.5757578480067878E-4</v>
      </c>
      <c r="C143" s="12">
        <f t="shared" si="13"/>
        <v>49</v>
      </c>
      <c r="D143" s="12">
        <f t="shared" si="14"/>
        <v>0.74985033060451434</v>
      </c>
      <c r="E143" s="12">
        <f t="shared" si="15"/>
        <v>1.1204511055318278E-4</v>
      </c>
      <c r="F143" s="12">
        <f t="shared" si="16"/>
        <v>7</v>
      </c>
      <c r="G143" s="12">
        <f t="shared" si="17"/>
        <v>5.0455741861902173E-2</v>
      </c>
      <c r="H143" s="12">
        <f t="shared" si="18"/>
        <v>-1.1222792410059412E-5</v>
      </c>
      <c r="I143" s="12">
        <f>2</f>
        <v>2</v>
      </c>
      <c r="J143" s="12">
        <f t="shared" si="19"/>
        <v>0.54984023009134697</v>
      </c>
      <c r="K143" s="12">
        <f t="shared" ref="K143:K206" si="22">SUMPRODUCT((D143*$B$6:$B$9^2+G143*$B$6:$B$9+J143-$C$6:$C$9)^2)/$F$5</f>
        <v>1.2500022457605939E-2</v>
      </c>
      <c r="L143" s="12">
        <f t="shared" si="20"/>
        <v>1.6006444364738415E-5</v>
      </c>
      <c r="M143" s="7" t="str">
        <f t="shared" si="21"/>
        <v>no</v>
      </c>
    </row>
    <row r="144" spans="1:13" x14ac:dyDescent="0.35">
      <c r="A144" s="7">
        <v>129</v>
      </c>
      <c r="B144" s="12">
        <f t="shared" ref="B144:B207" si="23">2/$F$5*($F$9*D143+$F$8*G143+$F$7*J143-$F$12)</f>
        <v>-2.4883622512561487E-4</v>
      </c>
      <c r="C144" s="12">
        <f t="shared" ref="C144:C207" si="24">2/$F$5*$F$9</f>
        <v>49</v>
      </c>
      <c r="D144" s="12">
        <f t="shared" ref="D144:D207" si="25">IF(M143="yes",D143,D143-B144/C144)</f>
        <v>0.74985540889482305</v>
      </c>
      <c r="E144" s="12">
        <f t="shared" ref="E144:E207" si="26">2/$F$5*($F$8*D144+$F$7*G143+$F$6*J143-$F$11)</f>
        <v>1.0824341417148275E-4</v>
      </c>
      <c r="F144" s="12">
        <f t="shared" ref="F144:F207" si="27">2/$F$5*$F$7</f>
        <v>7</v>
      </c>
      <c r="G144" s="12">
        <f t="shared" ref="G144:G207" si="28">IF(M143="yes",G143,G143-E144/F144)</f>
        <v>5.0440278517020536E-2</v>
      </c>
      <c r="H144" s="12">
        <f t="shared" ref="H144:H207" si="29">2/$F$5*($F$7*D144+$F$6*G144+$F$5*J143-$F$10)</f>
        <v>-1.084200248335776E-5</v>
      </c>
      <c r="I144" s="12">
        <f>2</f>
        <v>2</v>
      </c>
      <c r="J144" s="12">
        <f t="shared" ref="J144:J207" si="30">IF(M143="yes",J143,J143-H144/I144)</f>
        <v>0.54984565109258865</v>
      </c>
      <c r="K144" s="12">
        <f t="shared" si="22"/>
        <v>1.2500020959484775E-2</v>
      </c>
      <c r="L144" s="12">
        <f t="shared" ref="L144:L207" si="31">MAX(ABS(D144-D143),ABS(G144-G143),ABS(J144-J143))</f>
        <v>1.546334488163742E-5</v>
      </c>
      <c r="M144" s="7" t="str">
        <f t="shared" ref="M144:M207" si="32">IF(OR(M143="yes",L144&lt;$I$5),"yes","no")</f>
        <v>no</v>
      </c>
    </row>
    <row r="145" spans="1:13" x14ac:dyDescent="0.35">
      <c r="A145" s="7">
        <v>130</v>
      </c>
      <c r="B145" s="12">
        <f t="shared" si="23"/>
        <v>-2.4039319917790181E-4</v>
      </c>
      <c r="C145" s="12">
        <f t="shared" si="24"/>
        <v>49</v>
      </c>
      <c r="D145" s="12">
        <f t="shared" si="25"/>
        <v>0.74986031487847971</v>
      </c>
      <c r="E145" s="12">
        <f t="shared" si="26"/>
        <v>1.0457070954394965E-4</v>
      </c>
      <c r="F145" s="12">
        <f t="shared" si="27"/>
        <v>7</v>
      </c>
      <c r="G145" s="12">
        <f t="shared" si="28"/>
        <v>5.0425339844228541E-2</v>
      </c>
      <c r="H145" s="12">
        <f t="shared" si="29"/>
        <v>-1.047413277888154E-5</v>
      </c>
      <c r="I145" s="12">
        <f>2</f>
        <v>2</v>
      </c>
      <c r="J145" s="12">
        <f t="shared" si="30"/>
        <v>0.54985088815897809</v>
      </c>
      <c r="K145" s="12">
        <f t="shared" si="22"/>
        <v>1.2500019561301531E-2</v>
      </c>
      <c r="L145" s="12">
        <f t="shared" si="31"/>
        <v>1.4938672791994789E-5</v>
      </c>
      <c r="M145" s="7" t="str">
        <f t="shared" si="32"/>
        <v>no</v>
      </c>
    </row>
    <row r="146" spans="1:13" x14ac:dyDescent="0.35">
      <c r="A146" s="7">
        <v>131</v>
      </c>
      <c r="B146" s="12">
        <f t="shared" si="23"/>
        <v>-2.3223664553029266E-4</v>
      </c>
      <c r="C146" s="12">
        <f t="shared" si="24"/>
        <v>49</v>
      </c>
      <c r="D146" s="12">
        <f t="shared" si="25"/>
        <v>0.74986505440185791</v>
      </c>
      <c r="E146" s="12">
        <f t="shared" si="26"/>
        <v>1.0102261997602113E-4</v>
      </c>
      <c r="F146" s="12">
        <f t="shared" si="27"/>
        <v>7</v>
      </c>
      <c r="G146" s="12">
        <f t="shared" si="28"/>
        <v>5.0410908041374825E-2</v>
      </c>
      <c r="H146" s="12">
        <f t="shared" si="29"/>
        <v>-1.0118744913967248E-5</v>
      </c>
      <c r="I146" s="12">
        <f>2</f>
        <v>2</v>
      </c>
      <c r="J146" s="12">
        <f t="shared" si="30"/>
        <v>0.54985594753143507</v>
      </c>
      <c r="K146" s="12">
        <f t="shared" si="22"/>
        <v>1.2500018256389517E-2</v>
      </c>
      <c r="L146" s="12">
        <f t="shared" si="31"/>
        <v>1.4431802853716313E-5</v>
      </c>
      <c r="M146" s="7" t="str">
        <f t="shared" si="32"/>
        <v>no</v>
      </c>
    </row>
    <row r="147" spans="1:13" x14ac:dyDescent="0.35">
      <c r="A147" s="7">
        <v>132</v>
      </c>
      <c r="B147" s="12">
        <f t="shared" si="23"/>
        <v>-2.2435684417132506E-4</v>
      </c>
      <c r="C147" s="12">
        <f t="shared" si="24"/>
        <v>49</v>
      </c>
      <c r="D147" s="12">
        <f t="shared" si="25"/>
        <v>0.7498696331129634</v>
      </c>
      <c r="E147" s="12">
        <f t="shared" si="26"/>
        <v>9.7594917269461234E-5</v>
      </c>
      <c r="F147" s="12">
        <f t="shared" si="27"/>
        <v>7</v>
      </c>
      <c r="G147" s="12">
        <f t="shared" si="28"/>
        <v>5.0396965910336329E-2</v>
      </c>
      <c r="H147" s="12">
        <f t="shared" si="29"/>
        <v>-9.7754153767226626E-6</v>
      </c>
      <c r="I147" s="12">
        <f>2</f>
        <v>2</v>
      </c>
      <c r="J147" s="12">
        <f t="shared" si="30"/>
        <v>0.54986083523912344</v>
      </c>
      <c r="K147" s="12">
        <f t="shared" si="22"/>
        <v>1.2500017038526644E-2</v>
      </c>
      <c r="L147" s="12">
        <f t="shared" si="31"/>
        <v>1.3942131038495453E-5</v>
      </c>
      <c r="M147" s="7" t="str">
        <f t="shared" si="32"/>
        <v>no</v>
      </c>
    </row>
    <row r="148" spans="1:13" x14ac:dyDescent="0.35">
      <c r="A148" s="7">
        <v>133</v>
      </c>
      <c r="B148" s="12">
        <f t="shared" si="23"/>
        <v>-2.1674440487373658E-4</v>
      </c>
      <c r="C148" s="12">
        <f t="shared" si="24"/>
        <v>49</v>
      </c>
      <c r="D148" s="12">
        <f t="shared" si="25"/>
        <v>0.74987405646816485</v>
      </c>
      <c r="E148" s="12">
        <f t="shared" si="26"/>
        <v>9.428351669171775E-5</v>
      </c>
      <c r="F148" s="12">
        <f t="shared" si="27"/>
        <v>7</v>
      </c>
      <c r="G148" s="12">
        <f t="shared" si="28"/>
        <v>5.0383496836523226E-2</v>
      </c>
      <c r="H148" s="12">
        <f t="shared" si="29"/>
        <v>-9.4437350295351052E-6</v>
      </c>
      <c r="I148" s="12">
        <f>2</f>
        <v>2</v>
      </c>
      <c r="J148" s="12">
        <f t="shared" si="30"/>
        <v>0.5498655571066382</v>
      </c>
      <c r="K148" s="12">
        <f t="shared" si="22"/>
        <v>1.2500015901906112E-2</v>
      </c>
      <c r="L148" s="12">
        <f t="shared" si="31"/>
        <v>1.3469073813103527E-5</v>
      </c>
      <c r="M148" s="7" t="str">
        <f t="shared" si="32"/>
        <v>no</v>
      </c>
    </row>
    <row r="149" spans="1:13" x14ac:dyDescent="0.35">
      <c r="A149" s="7">
        <v>134</v>
      </c>
      <c r="B149" s="12">
        <f t="shared" si="23"/>
        <v>-2.0939025603894379E-4</v>
      </c>
      <c r="C149" s="12">
        <f t="shared" si="24"/>
        <v>49</v>
      </c>
      <c r="D149" s="12">
        <f t="shared" si="25"/>
        <v>0.74987832973869628</v>
      </c>
      <c r="E149" s="12">
        <f t="shared" si="26"/>
        <v>9.1084472110480874E-5</v>
      </c>
      <c r="F149" s="12">
        <f t="shared" si="27"/>
        <v>7</v>
      </c>
      <c r="G149" s="12">
        <f t="shared" si="28"/>
        <v>5.037048476907887E-2</v>
      </c>
      <c r="H149" s="12">
        <f t="shared" si="29"/>
        <v>-9.1233086134678842E-6</v>
      </c>
      <c r="I149" s="12">
        <f>2</f>
        <v>2</v>
      </c>
      <c r="J149" s="12">
        <f t="shared" si="30"/>
        <v>0.54987011876094494</v>
      </c>
      <c r="K149" s="12">
        <f t="shared" si="22"/>
        <v>1.2500014841108104E-2</v>
      </c>
      <c r="L149" s="12">
        <f t="shared" si="31"/>
        <v>1.3012067444355402E-5</v>
      </c>
      <c r="M149" s="7" t="str">
        <f t="shared" si="32"/>
        <v>no</v>
      </c>
    </row>
    <row r="150" spans="1:13" x14ac:dyDescent="0.35">
      <c r="A150" s="7">
        <v>135</v>
      </c>
      <c r="B150" s="12">
        <f t="shared" si="23"/>
        <v>-2.022856338541601E-4</v>
      </c>
      <c r="C150" s="12">
        <f t="shared" si="24"/>
        <v>49</v>
      </c>
      <c r="D150" s="12">
        <f t="shared" si="25"/>
        <v>0.7498824580169382</v>
      </c>
      <c r="E150" s="12">
        <f t="shared" si="26"/>
        <v>8.7993971275679428E-5</v>
      </c>
      <c r="F150" s="12">
        <f t="shared" si="27"/>
        <v>7</v>
      </c>
      <c r="G150" s="12">
        <f t="shared" si="28"/>
        <v>5.035791420175377E-2</v>
      </c>
      <c r="H150" s="12">
        <f t="shared" si="29"/>
        <v>-8.8137542819666237E-6</v>
      </c>
      <c r="I150" s="12">
        <f>2</f>
        <v>2</v>
      </c>
      <c r="J150" s="12">
        <f t="shared" si="30"/>
        <v>0.54987452563808592</v>
      </c>
      <c r="K150" s="12">
        <f t="shared" si="22"/>
        <v>1.2500013851074812E-2</v>
      </c>
      <c r="L150" s="12">
        <f t="shared" si="31"/>
        <v>1.2570567325100035E-5</v>
      </c>
      <c r="M150" s="7" t="str">
        <f t="shared" si="32"/>
        <v>no</v>
      </c>
    </row>
    <row r="151" spans="1:13" x14ac:dyDescent="0.35">
      <c r="A151" s="7">
        <v>136</v>
      </c>
      <c r="B151" s="12">
        <f t="shared" si="23"/>
        <v>-1.9542207186162841E-4</v>
      </c>
      <c r="C151" s="12">
        <f t="shared" si="24"/>
        <v>49</v>
      </c>
      <c r="D151" s="12">
        <f t="shared" si="25"/>
        <v>0.74988644622248635</v>
      </c>
      <c r="E151" s="12">
        <f t="shared" si="26"/>
        <v>8.5008331289770922E-5</v>
      </c>
      <c r="F151" s="12">
        <f t="shared" si="27"/>
        <v>7</v>
      </c>
      <c r="G151" s="12">
        <f t="shared" si="28"/>
        <v>5.0345770154426657E-2</v>
      </c>
      <c r="H151" s="12">
        <f t="shared" si="29"/>
        <v>-8.5147031443355559E-6</v>
      </c>
      <c r="I151" s="12">
        <f>2</f>
        <v>2</v>
      </c>
      <c r="J151" s="12">
        <f t="shared" si="30"/>
        <v>0.54987878298965809</v>
      </c>
      <c r="K151" s="12">
        <f t="shared" si="22"/>
        <v>1.2500012927085486E-2</v>
      </c>
      <c r="L151" s="12">
        <f t="shared" si="31"/>
        <v>1.2144047327113106E-5</v>
      </c>
      <c r="M151" s="7" t="str">
        <f t="shared" si="32"/>
        <v>no</v>
      </c>
    </row>
    <row r="152" spans="1:13" x14ac:dyDescent="0.35">
      <c r="A152" s="7">
        <v>137</v>
      </c>
      <c r="B152" s="12">
        <f t="shared" si="23"/>
        <v>-1.887913908760197E-4</v>
      </c>
      <c r="C152" s="12">
        <f t="shared" si="24"/>
        <v>49</v>
      </c>
      <c r="D152" s="12">
        <f t="shared" si="25"/>
        <v>0.74989029910801441</v>
      </c>
      <c r="E152" s="12">
        <f t="shared" si="26"/>
        <v>8.2123994220140162E-5</v>
      </c>
      <c r="F152" s="12">
        <f t="shared" si="27"/>
        <v>7</v>
      </c>
      <c r="G152" s="12">
        <f t="shared" si="28"/>
        <v>5.033403815525235E-2</v>
      </c>
      <c r="H152" s="12">
        <f t="shared" si="29"/>
        <v>-8.2257988260892034E-6</v>
      </c>
      <c r="I152" s="12">
        <f>2</f>
        <v>2</v>
      </c>
      <c r="J152" s="12">
        <f t="shared" si="30"/>
        <v>0.54988289588907113</v>
      </c>
      <c r="K152" s="12">
        <f t="shared" si="22"/>
        <v>1.2500012064734419E-2</v>
      </c>
      <c r="L152" s="12">
        <f t="shared" si="31"/>
        <v>1.1731999174306729E-5</v>
      </c>
      <c r="M152" s="7" t="str">
        <f t="shared" si="32"/>
        <v>no</v>
      </c>
    </row>
    <row r="153" spans="1:13" x14ac:dyDescent="0.35">
      <c r="A153" s="7">
        <v>138</v>
      </c>
      <c r="B153" s="12">
        <f t="shared" si="23"/>
        <v>-1.8238568925710297E-4</v>
      </c>
      <c r="C153" s="12">
        <f t="shared" si="24"/>
        <v>49</v>
      </c>
      <c r="D153" s="12">
        <f t="shared" si="25"/>
        <v>0.74989402126493798</v>
      </c>
      <c r="E153" s="12">
        <f t="shared" si="26"/>
        <v>7.9337522862488186E-5</v>
      </c>
      <c r="F153" s="12">
        <f t="shared" si="27"/>
        <v>7</v>
      </c>
      <c r="G153" s="12">
        <f t="shared" si="28"/>
        <v>5.0322704223414852E-2</v>
      </c>
      <c r="H153" s="12">
        <f t="shared" si="29"/>
        <v>-7.9466970470676301E-6</v>
      </c>
      <c r="I153" s="12">
        <f>2</f>
        <v>2</v>
      </c>
      <c r="J153" s="12">
        <f t="shared" si="30"/>
        <v>0.54988686923759467</v>
      </c>
      <c r="K153" s="12">
        <f t="shared" si="22"/>
        <v>1.2500011259909804E-2</v>
      </c>
      <c r="L153" s="12">
        <f t="shared" si="31"/>
        <v>1.1333931837498312E-5</v>
      </c>
      <c r="M153" s="7" t="str">
        <f t="shared" si="32"/>
        <v>no</v>
      </c>
    </row>
    <row r="154" spans="1:13" x14ac:dyDescent="0.35">
      <c r="A154" s="7">
        <v>139</v>
      </c>
      <c r="B154" s="12">
        <f t="shared" si="23"/>
        <v>-1.7619733340978883E-4</v>
      </c>
      <c r="C154" s="12">
        <f t="shared" si="24"/>
        <v>49</v>
      </c>
      <c r="D154" s="12">
        <f t="shared" si="25"/>
        <v>0.74989761712888514</v>
      </c>
      <c r="E154" s="12">
        <f t="shared" si="26"/>
        <v>7.6645596621460754E-5</v>
      </c>
      <c r="F154" s="12">
        <f t="shared" si="27"/>
        <v>7</v>
      </c>
      <c r="G154" s="12">
        <f t="shared" si="28"/>
        <v>5.0311754852468929E-2</v>
      </c>
      <c r="H154" s="12">
        <f t="shared" si="29"/>
        <v>-7.6770652084334756E-6</v>
      </c>
      <c r="I154" s="12">
        <f>2</f>
        <v>2</v>
      </c>
      <c r="J154" s="12">
        <f t="shared" si="30"/>
        <v>0.54989070777019888</v>
      </c>
      <c r="K154" s="12">
        <f t="shared" si="22"/>
        <v>1.2500010508774103E-2</v>
      </c>
      <c r="L154" s="12">
        <f t="shared" si="31"/>
        <v>1.0949370945922965E-5</v>
      </c>
      <c r="M154" s="7" t="str">
        <f t="shared" si="32"/>
        <v>no</v>
      </c>
    </row>
    <row r="155" spans="1:13" x14ac:dyDescent="0.35">
      <c r="A155" s="7">
        <v>140</v>
      </c>
      <c r="B155" s="12">
        <f t="shared" si="23"/>
        <v>-1.7021894879576394E-4</v>
      </c>
      <c r="C155" s="12">
        <f t="shared" si="24"/>
        <v>49</v>
      </c>
      <c r="D155" s="12">
        <f t="shared" si="25"/>
        <v>0.74990109098498303</v>
      </c>
      <c r="E155" s="12">
        <f t="shared" si="26"/>
        <v>7.4045007572465238E-5</v>
      </c>
      <c r="F155" s="12">
        <f t="shared" si="27"/>
        <v>7</v>
      </c>
      <c r="G155" s="12">
        <f t="shared" si="28"/>
        <v>5.0301176994244294E-2</v>
      </c>
      <c r="H155" s="12">
        <f t="shared" si="29"/>
        <v>-7.416581987662596E-6</v>
      </c>
      <c r="I155" s="12">
        <f>2</f>
        <v>2</v>
      </c>
      <c r="J155" s="12">
        <f t="shared" si="30"/>
        <v>0.54989441606119271</v>
      </c>
      <c r="K155" s="12">
        <f t="shared" si="22"/>
        <v>1.2500009807745825E-2</v>
      </c>
      <c r="L155" s="12">
        <f t="shared" si="31"/>
        <v>1.0577858224634917E-5</v>
      </c>
      <c r="M155" s="7" t="str">
        <f t="shared" si="32"/>
        <v>no</v>
      </c>
    </row>
    <row r="156" spans="1:13" x14ac:dyDescent="0.35">
      <c r="A156" s="7">
        <v>141</v>
      </c>
      <c r="B156" s="12">
        <f t="shared" si="23"/>
        <v>-1.6444341108723393E-4</v>
      </c>
      <c r="C156" s="12">
        <f t="shared" si="24"/>
        <v>49</v>
      </c>
      <c r="D156" s="12">
        <f t="shared" si="25"/>
        <v>0.74990444697296443</v>
      </c>
      <c r="E156" s="12">
        <f t="shared" si="26"/>
        <v>7.1532656647832482E-5</v>
      </c>
      <c r="F156" s="12">
        <f t="shared" si="27"/>
        <v>7</v>
      </c>
      <c r="G156" s="12">
        <f t="shared" si="28"/>
        <v>5.0290958043294601E-2</v>
      </c>
      <c r="H156" s="12">
        <f t="shared" si="29"/>
        <v>-7.1649369797199824E-6</v>
      </c>
      <c r="I156" s="12">
        <f>2</f>
        <v>2</v>
      </c>
      <c r="J156" s="12">
        <f t="shared" si="30"/>
        <v>0.54989799852968257</v>
      </c>
      <c r="K156" s="12">
        <f t="shared" si="22"/>
        <v>1.250000915348232E-2</v>
      </c>
      <c r="L156" s="12">
        <f t="shared" si="31"/>
        <v>1.0218950949693328E-5</v>
      </c>
      <c r="M156" s="7" t="str">
        <f t="shared" si="32"/>
        <v>no</v>
      </c>
    </row>
    <row r="157" spans="1:13" x14ac:dyDescent="0.35">
      <c r="A157" s="7">
        <v>142</v>
      </c>
      <c r="B157" s="12">
        <f t="shared" si="23"/>
        <v>-1.5886383766172685E-4</v>
      </c>
      <c r="C157" s="12">
        <f t="shared" si="24"/>
        <v>49</v>
      </c>
      <c r="D157" s="12">
        <f t="shared" si="25"/>
        <v>0.74990768909210037</v>
      </c>
      <c r="E157" s="12">
        <f t="shared" si="26"/>
        <v>6.9105549915349229E-5</v>
      </c>
      <c r="F157" s="12">
        <f t="shared" si="27"/>
        <v>7</v>
      </c>
      <c r="G157" s="12">
        <f t="shared" si="28"/>
        <v>5.0281085821878124E-2</v>
      </c>
      <c r="H157" s="12">
        <f t="shared" si="29"/>
        <v>-6.9218302973794721E-6</v>
      </c>
      <c r="I157" s="12">
        <f>2</f>
        <v>2</v>
      </c>
      <c r="J157" s="12">
        <f t="shared" si="30"/>
        <v>0.54990145944483126</v>
      </c>
      <c r="K157" s="12">
        <f t="shared" si="22"/>
        <v>1.2500008542863981E-2</v>
      </c>
      <c r="L157" s="12">
        <f t="shared" si="31"/>
        <v>9.8722214164764788E-6</v>
      </c>
      <c r="M157" s="7" t="str">
        <f t="shared" si="32"/>
        <v>no</v>
      </c>
    </row>
    <row r="158" spans="1:13" x14ac:dyDescent="0.35">
      <c r="A158" s="7">
        <v>143</v>
      </c>
      <c r="B158" s="12">
        <f t="shared" si="23"/>
        <v>-1.53473579452168E-4</v>
      </c>
      <c r="C158" s="12">
        <f t="shared" si="24"/>
        <v>49</v>
      </c>
      <c r="D158" s="12">
        <f t="shared" si="25"/>
        <v>0.74991082120596675</v>
      </c>
      <c r="E158" s="12">
        <f t="shared" si="26"/>
        <v>6.6760795043308008E-5</v>
      </c>
      <c r="F158" s="12">
        <f t="shared" si="27"/>
        <v>7</v>
      </c>
      <c r="G158" s="12">
        <f t="shared" si="28"/>
        <v>5.0271548565443365E-2</v>
      </c>
      <c r="H158" s="12">
        <f t="shared" si="29"/>
        <v>-6.6869722408213761E-6</v>
      </c>
      <c r="I158" s="12">
        <f>2</f>
        <v>2</v>
      </c>
      <c r="J158" s="12">
        <f t="shared" si="30"/>
        <v>0.54990480293095167</v>
      </c>
      <c r="K158" s="12">
        <f t="shared" si="22"/>
        <v>1.250000797297934E-2</v>
      </c>
      <c r="L158" s="12">
        <f t="shared" si="31"/>
        <v>9.5372564347592781E-6</v>
      </c>
      <c r="M158" s="7" t="str">
        <f t="shared" si="32"/>
        <v>no</v>
      </c>
    </row>
    <row r="159" spans="1:13" x14ac:dyDescent="0.35">
      <c r="A159" s="7">
        <v>144</v>
      </c>
      <c r="B159" s="12">
        <f t="shared" si="23"/>
        <v>-1.4826621298880127E-4</v>
      </c>
      <c r="C159" s="12">
        <f t="shared" si="24"/>
        <v>49</v>
      </c>
      <c r="D159" s="12">
        <f t="shared" si="25"/>
        <v>0.74991384704704811</v>
      </c>
      <c r="E159" s="12">
        <f t="shared" si="26"/>
        <v>6.4495597824176798E-5</v>
      </c>
      <c r="F159" s="12">
        <f t="shared" si="27"/>
        <v>7</v>
      </c>
      <c r="G159" s="12">
        <f t="shared" si="28"/>
        <v>5.0262334908611338E-2</v>
      </c>
      <c r="H159" s="12">
        <f t="shared" si="29"/>
        <v>-6.4600829254857217E-6</v>
      </c>
      <c r="I159" s="12">
        <f>2</f>
        <v>2</v>
      </c>
      <c r="J159" s="12">
        <f t="shared" si="30"/>
        <v>0.54990803297241442</v>
      </c>
      <c r="K159" s="12">
        <f t="shared" si="22"/>
        <v>1.2500007441111004E-2</v>
      </c>
      <c r="L159" s="12">
        <f t="shared" si="31"/>
        <v>9.2136568320272394E-6</v>
      </c>
      <c r="M159" s="7" t="str">
        <f t="shared" si="32"/>
        <v>no</v>
      </c>
    </row>
    <row r="160" spans="1:13" x14ac:dyDescent="0.35">
      <c r="A160" s="7">
        <v>145</v>
      </c>
      <c r="B160" s="12">
        <f t="shared" si="23"/>
        <v>-1.4323553273243306E-4</v>
      </c>
      <c r="C160" s="12">
        <f t="shared" si="24"/>
        <v>49</v>
      </c>
      <c r="D160" s="12">
        <f t="shared" si="25"/>
        <v>0.74991677022118552</v>
      </c>
      <c r="E160" s="12">
        <f t="shared" si="26"/>
        <v>6.2307258861693526E-5</v>
      </c>
      <c r="F160" s="12">
        <f t="shared" si="27"/>
        <v>7</v>
      </c>
      <c r="G160" s="12">
        <f t="shared" si="28"/>
        <v>5.0253433871631094E-2</v>
      </c>
      <c r="H160" s="12">
        <f t="shared" si="29"/>
        <v>-6.2408919792034112E-6</v>
      </c>
      <c r="I160" s="12">
        <f>2</f>
        <v>2</v>
      </c>
      <c r="J160" s="12">
        <f t="shared" si="30"/>
        <v>0.54991115341840402</v>
      </c>
      <c r="K160" s="12">
        <f t="shared" si="22"/>
        <v>1.2500006944723044E-2</v>
      </c>
      <c r="L160" s="12">
        <f t="shared" si="31"/>
        <v>8.9010369802439149E-6</v>
      </c>
      <c r="M160" s="7" t="str">
        <f t="shared" si="32"/>
        <v>no</v>
      </c>
    </row>
    <row r="161" spans="1:13" x14ac:dyDescent="0.35">
      <c r="A161" s="7">
        <v>146</v>
      </c>
      <c r="B161" s="12">
        <f t="shared" si="23"/>
        <v>-1.3837554372031491E-4</v>
      </c>
      <c r="C161" s="12">
        <f t="shared" si="24"/>
        <v>49</v>
      </c>
      <c r="D161" s="12">
        <f t="shared" si="25"/>
        <v>0.74991959421187371</v>
      </c>
      <c r="E161" s="12">
        <f t="shared" si="26"/>
        <v>6.0193170355660186E-5</v>
      </c>
      <c r="F161" s="12">
        <f t="shared" si="27"/>
        <v>7</v>
      </c>
      <c r="G161" s="12">
        <f t="shared" si="28"/>
        <v>5.024483484729457E-2</v>
      </c>
      <c r="H161" s="12">
        <f t="shared" si="29"/>
        <v>-6.0291381922539244E-6</v>
      </c>
      <c r="I161" s="12">
        <f>2</f>
        <v>2</v>
      </c>
      <c r="J161" s="12">
        <f t="shared" si="30"/>
        <v>0.54991416798750015</v>
      </c>
      <c r="K161" s="12">
        <f t="shared" si="22"/>
        <v>1.2500006481448504E-2</v>
      </c>
      <c r="L161" s="12">
        <f t="shared" si="31"/>
        <v>8.599024336523875E-6</v>
      </c>
      <c r="M161" s="7" t="str">
        <f t="shared" si="32"/>
        <v>no</v>
      </c>
    </row>
    <row r="162" spans="1:13" x14ac:dyDescent="0.35">
      <c r="A162" s="7">
        <v>147</v>
      </c>
      <c r="B162" s="12">
        <f t="shared" si="23"/>
        <v>-1.3368045438255649E-4</v>
      </c>
      <c r="C162" s="12">
        <f t="shared" si="24"/>
        <v>49</v>
      </c>
      <c r="D162" s="12">
        <f t="shared" si="25"/>
        <v>0.74992232238441214</v>
      </c>
      <c r="E162" s="12">
        <f t="shared" si="26"/>
        <v>5.815081298088387E-5</v>
      </c>
      <c r="F162" s="12">
        <f t="shared" si="27"/>
        <v>7</v>
      </c>
      <c r="G162" s="12">
        <f t="shared" si="28"/>
        <v>5.0236527588297303E-2</v>
      </c>
      <c r="H162" s="12">
        <f t="shared" si="29"/>
        <v>-5.8245692224900836E-6</v>
      </c>
      <c r="I162" s="12">
        <f>2</f>
        <v>2</v>
      </c>
      <c r="J162" s="12">
        <f t="shared" si="30"/>
        <v>0.54991708027211139</v>
      </c>
      <c r="K162" s="12">
        <f t="shared" si="22"/>
        <v>1.2500006049078459E-2</v>
      </c>
      <c r="L162" s="12">
        <f t="shared" si="31"/>
        <v>8.3072589972671418E-6</v>
      </c>
      <c r="M162" s="7" t="str">
        <f t="shared" si="32"/>
        <v>no</v>
      </c>
    </row>
    <row r="163" spans="1:13" x14ac:dyDescent="0.35">
      <c r="A163" s="7">
        <v>148</v>
      </c>
      <c r="B163" s="12">
        <f t="shared" si="23"/>
        <v>-1.2914466967117733E-4</v>
      </c>
      <c r="C163" s="12">
        <f t="shared" si="24"/>
        <v>49</v>
      </c>
      <c r="D163" s="12">
        <f t="shared" si="25"/>
        <v>0.74992495798991565</v>
      </c>
      <c r="E163" s="12">
        <f t="shared" si="26"/>
        <v>5.6177752897568212E-5</v>
      </c>
      <c r="F163" s="12">
        <f t="shared" si="27"/>
        <v>7</v>
      </c>
      <c r="G163" s="12">
        <f t="shared" si="28"/>
        <v>5.0228502195026219E-2</v>
      </c>
      <c r="H163" s="12">
        <f t="shared" si="29"/>
        <v>-5.6269412889164983E-6</v>
      </c>
      <c r="I163" s="12">
        <f>2</f>
        <v>2</v>
      </c>
      <c r="J163" s="12">
        <f t="shared" si="30"/>
        <v>0.54991989374275585</v>
      </c>
      <c r="K163" s="12">
        <f t="shared" si="22"/>
        <v>1.250000564555136E-2</v>
      </c>
      <c r="L163" s="12">
        <f t="shared" si="31"/>
        <v>8.0253932710841469E-6</v>
      </c>
      <c r="M163" s="7" t="str">
        <f t="shared" si="32"/>
        <v>no</v>
      </c>
    </row>
    <row r="164" spans="1:13" x14ac:dyDescent="0.35">
      <c r="A164" s="7">
        <v>149</v>
      </c>
      <c r="B164" s="12">
        <f t="shared" si="23"/>
        <v>-1.2476278437389965E-4</v>
      </c>
      <c r="C164" s="12">
        <f t="shared" si="24"/>
        <v>49</v>
      </c>
      <c r="D164" s="12">
        <f t="shared" si="25"/>
        <v>0.74992750416918863</v>
      </c>
      <c r="E164" s="12">
        <f t="shared" si="26"/>
        <v>5.427163884696995E-5</v>
      </c>
      <c r="F164" s="12">
        <f t="shared" si="27"/>
        <v>7</v>
      </c>
      <c r="G164" s="12">
        <f t="shared" si="28"/>
        <v>5.0220749103762369E-2</v>
      </c>
      <c r="H164" s="12">
        <f t="shared" si="29"/>
        <v>-5.4360188803670439E-6</v>
      </c>
      <c r="I164" s="12">
        <f>2</f>
        <v>2</v>
      </c>
      <c r="J164" s="12">
        <f t="shared" si="30"/>
        <v>0.54992261175219603</v>
      </c>
      <c r="K164" s="12">
        <f t="shared" si="22"/>
        <v>1.2500005268943088E-2</v>
      </c>
      <c r="L164" s="12">
        <f t="shared" si="31"/>
        <v>7.7530912638498761E-6</v>
      </c>
      <c r="M164" s="7" t="str">
        <f t="shared" si="32"/>
        <v>no</v>
      </c>
    </row>
    <row r="165" spans="1:13" x14ac:dyDescent="0.35">
      <c r="A165" s="7">
        <v>150</v>
      </c>
      <c r="B165" s="12">
        <f t="shared" si="23"/>
        <v>-1.2052957666242037E-4</v>
      </c>
      <c r="C165" s="12">
        <f t="shared" si="24"/>
        <v>49</v>
      </c>
      <c r="D165" s="12">
        <f t="shared" si="25"/>
        <v>0.74992996395646749</v>
      </c>
      <c r="E165" s="12">
        <f t="shared" si="26"/>
        <v>5.2430199339426053E-5</v>
      </c>
      <c r="F165" s="12">
        <f t="shared" si="27"/>
        <v>7</v>
      </c>
      <c r="G165" s="12">
        <f t="shared" si="28"/>
        <v>5.0213259075285309E-2</v>
      </c>
      <c r="H165" s="12">
        <f t="shared" si="29"/>
        <v>-5.2515744792813734E-6</v>
      </c>
      <c r="I165" s="12">
        <f>2</f>
        <v>2</v>
      </c>
      <c r="J165" s="12">
        <f t="shared" si="30"/>
        <v>0.54992523753943567</v>
      </c>
      <c r="K165" s="12">
        <f t="shared" si="22"/>
        <v>1.2500004917457938E-2</v>
      </c>
      <c r="L165" s="12">
        <f t="shared" si="31"/>
        <v>7.4900284770598735E-6</v>
      </c>
      <c r="M165" s="7" t="str">
        <f t="shared" si="32"/>
        <v>no</v>
      </c>
    </row>
    <row r="166" spans="1:13" x14ac:dyDescent="0.35">
      <c r="A166" s="7">
        <v>151</v>
      </c>
      <c r="B166" s="12">
        <f t="shared" si="23"/>
        <v>-1.1644000190358383E-4</v>
      </c>
      <c r="C166" s="12">
        <f t="shared" si="24"/>
        <v>49</v>
      </c>
      <c r="D166" s="12">
        <f t="shared" si="25"/>
        <v>0.7499323402830369</v>
      </c>
      <c r="E166" s="12">
        <f t="shared" si="26"/>
        <v>5.0651239968502182E-5</v>
      </c>
      <c r="F166" s="12">
        <f t="shared" si="27"/>
        <v>7</v>
      </c>
      <c r="G166" s="12">
        <f t="shared" si="28"/>
        <v>5.0206023183861234E-2</v>
      </c>
      <c r="H166" s="12">
        <f t="shared" si="29"/>
        <v>-5.0733882863696067E-6</v>
      </c>
      <c r="I166" s="12">
        <f>2</f>
        <v>2</v>
      </c>
      <c r="J166" s="12">
        <f t="shared" si="30"/>
        <v>0.54992777423357886</v>
      </c>
      <c r="K166" s="12">
        <f t="shared" si="22"/>
        <v>1.2500004589419975E-2</v>
      </c>
      <c r="L166" s="12">
        <f t="shared" si="31"/>
        <v>7.2358914240747141E-6</v>
      </c>
      <c r="M166" s="7" t="str">
        <f t="shared" si="32"/>
        <v>no</v>
      </c>
    </row>
    <row r="167" spans="1:13" x14ac:dyDescent="0.35">
      <c r="A167" s="7">
        <v>152</v>
      </c>
      <c r="B167" s="12">
        <f t="shared" si="23"/>
        <v>-1.1248918664108487E-4</v>
      </c>
      <c r="C167" s="12">
        <f t="shared" si="24"/>
        <v>49</v>
      </c>
      <c r="D167" s="12">
        <f t="shared" si="25"/>
        <v>0.74993463598072341</v>
      </c>
      <c r="E167" s="12">
        <f t="shared" si="26"/>
        <v>4.893264078731363E-5</v>
      </c>
      <c r="F167" s="12">
        <f t="shared" si="27"/>
        <v>7</v>
      </c>
      <c r="G167" s="12">
        <f t="shared" si="28"/>
        <v>5.0199032806605905E-2</v>
      </c>
      <c r="H167" s="12">
        <f t="shared" si="29"/>
        <v>-4.9012479612642323E-6</v>
      </c>
      <c r="I167" s="12">
        <f>2</f>
        <v>2</v>
      </c>
      <c r="J167" s="12">
        <f t="shared" si="30"/>
        <v>0.54993022485755949</v>
      </c>
      <c r="K167" s="12">
        <f t="shared" si="22"/>
        <v>1.2500004283265044E-2</v>
      </c>
      <c r="L167" s="12">
        <f t="shared" si="31"/>
        <v>6.9903772553295274E-6</v>
      </c>
      <c r="M167" s="7" t="str">
        <f t="shared" si="32"/>
        <v>no</v>
      </c>
    </row>
    <row r="168" spans="1:13" x14ac:dyDescent="0.35">
      <c r="A168" s="7">
        <v>153</v>
      </c>
      <c r="B168" s="12">
        <f t="shared" si="23"/>
        <v>-1.0867242272638578E-4</v>
      </c>
      <c r="C168" s="12">
        <f t="shared" si="24"/>
        <v>49</v>
      </c>
      <c r="D168" s="12">
        <f t="shared" si="25"/>
        <v>0.74993685378526886</v>
      </c>
      <c r="E168" s="12">
        <f t="shared" si="26"/>
        <v>4.7272353759453267E-5</v>
      </c>
      <c r="F168" s="12">
        <f t="shared" si="27"/>
        <v>7</v>
      </c>
      <c r="G168" s="12">
        <f t="shared" si="28"/>
        <v>5.0192279613211696E-2</v>
      </c>
      <c r="H168" s="12">
        <f t="shared" si="29"/>
        <v>-4.7349483640601875E-6</v>
      </c>
      <c r="I168" s="12">
        <f>2</f>
        <v>2</v>
      </c>
      <c r="J168" s="12">
        <f t="shared" si="30"/>
        <v>0.54993259233174152</v>
      </c>
      <c r="K168" s="12">
        <f t="shared" si="22"/>
        <v>1.25000039975333E-2</v>
      </c>
      <c r="L168" s="12">
        <f t="shared" si="31"/>
        <v>6.7531933942086009E-6</v>
      </c>
      <c r="M168" s="7" t="str">
        <f t="shared" si="32"/>
        <v>no</v>
      </c>
    </row>
    <row r="169" spans="1:13" x14ac:dyDescent="0.35">
      <c r="A169" s="7">
        <v>154</v>
      </c>
      <c r="B169" s="12">
        <f t="shared" si="23"/>
        <v>-1.0498516182622097E-4</v>
      </c>
      <c r="C169" s="12">
        <f t="shared" si="24"/>
        <v>49</v>
      </c>
      <c r="D169" s="12">
        <f t="shared" si="25"/>
        <v>0.74993899633959182</v>
      </c>
      <c r="E169" s="12">
        <f t="shared" si="26"/>
        <v>4.5668400359133443E-5</v>
      </c>
      <c r="F169" s="12">
        <f t="shared" si="27"/>
        <v>7</v>
      </c>
      <c r="G169" s="12">
        <f t="shared" si="28"/>
        <v>5.0185755556017536E-2</v>
      </c>
      <c r="H169" s="12">
        <f t="shared" si="29"/>
        <v>-4.574291320835755E-6</v>
      </c>
      <c r="I169" s="12">
        <f>2</f>
        <v>2</v>
      </c>
      <c r="J169" s="12">
        <f t="shared" si="30"/>
        <v>0.54993487947740194</v>
      </c>
      <c r="K169" s="12">
        <f t="shared" si="22"/>
        <v>1.2500003730862418E-2</v>
      </c>
      <c r="L169" s="12">
        <f t="shared" si="31"/>
        <v>6.5240571941599379E-6</v>
      </c>
      <c r="M169" s="7" t="str">
        <f t="shared" si="32"/>
        <v>no</v>
      </c>
    </row>
    <row r="170" spans="1:13" x14ac:dyDescent="0.35">
      <c r="A170" s="7">
        <v>155</v>
      </c>
      <c r="B170" s="12">
        <f t="shared" si="23"/>
        <v>-1.0142300987325825E-4</v>
      </c>
      <c r="C170" s="12">
        <f t="shared" si="24"/>
        <v>49</v>
      </c>
      <c r="D170" s="12">
        <f t="shared" si="25"/>
        <v>0.74994106619693612</v>
      </c>
      <c r="E170" s="12">
        <f t="shared" si="26"/>
        <v>4.4118869178433329E-5</v>
      </c>
      <c r="F170" s="12">
        <f t="shared" si="27"/>
        <v>7</v>
      </c>
      <c r="G170" s="12">
        <f t="shared" si="28"/>
        <v>5.0179452860420616E-2</v>
      </c>
      <c r="H170" s="12">
        <f t="shared" si="29"/>
        <v>-4.4190853811798547E-6</v>
      </c>
      <c r="I170" s="12">
        <f>2</f>
        <v>2</v>
      </c>
      <c r="J170" s="12">
        <f t="shared" si="30"/>
        <v>0.54993708902009253</v>
      </c>
      <c r="K170" s="12">
        <f t="shared" si="22"/>
        <v>1.2500003481980907E-2</v>
      </c>
      <c r="L170" s="12">
        <f t="shared" si="31"/>
        <v>6.3026955969200382E-6</v>
      </c>
      <c r="M170" s="7" t="str">
        <f t="shared" si="32"/>
        <v>no</v>
      </c>
    </row>
    <row r="171" spans="1:13" x14ac:dyDescent="0.35">
      <c r="A171" s="7">
        <v>156</v>
      </c>
      <c r="B171" s="12">
        <f t="shared" si="23"/>
        <v>-9.7981721907558494E-5</v>
      </c>
      <c r="C171" s="12">
        <f t="shared" si="24"/>
        <v>49</v>
      </c>
      <c r="D171" s="12">
        <f t="shared" si="25"/>
        <v>0.74994306582391379</v>
      </c>
      <c r="E171" s="12">
        <f t="shared" si="26"/>
        <v>4.2621913669549372E-5</v>
      </c>
      <c r="F171" s="12">
        <f t="shared" si="27"/>
        <v>7</v>
      </c>
      <c r="G171" s="12">
        <f t="shared" si="28"/>
        <v>5.0173364015610677E-2</v>
      </c>
      <c r="H171" s="12">
        <f t="shared" si="29"/>
        <v>-4.2691455863774763E-6</v>
      </c>
      <c r="I171" s="12">
        <f>2</f>
        <v>2</v>
      </c>
      <c r="J171" s="12">
        <f t="shared" si="30"/>
        <v>0.54993922359288572</v>
      </c>
      <c r="K171" s="12">
        <f t="shared" si="22"/>
        <v>1.2500003249701963E-2</v>
      </c>
      <c r="L171" s="12">
        <f t="shared" si="31"/>
        <v>6.0888448099385983E-6</v>
      </c>
      <c r="M171" s="7" t="str">
        <f t="shared" si="32"/>
        <v>no</v>
      </c>
    </row>
    <row r="172" spans="1:13" x14ac:dyDescent="0.35">
      <c r="A172" s="7">
        <v>157</v>
      </c>
      <c r="B172" s="12">
        <f t="shared" si="23"/>
        <v>-9.4657197031722262E-5</v>
      </c>
      <c r="C172" s="12">
        <f t="shared" si="24"/>
        <v>49</v>
      </c>
      <c r="D172" s="12">
        <f t="shared" si="25"/>
        <v>0.74994499760344502</v>
      </c>
      <c r="E172" s="12">
        <f t="shared" si="26"/>
        <v>4.1175749942112816E-5</v>
      </c>
      <c r="F172" s="12">
        <f t="shared" si="27"/>
        <v>7</v>
      </c>
      <c r="G172" s="12">
        <f t="shared" si="28"/>
        <v>5.016748176561895E-2</v>
      </c>
      <c r="H172" s="12">
        <f t="shared" si="29"/>
        <v>-4.1242932571350366E-6</v>
      </c>
      <c r="I172" s="12">
        <f>2</f>
        <v>2</v>
      </c>
      <c r="J172" s="12">
        <f t="shared" si="30"/>
        <v>0.54994128573951429</v>
      </c>
      <c r="K172" s="12">
        <f t="shared" si="22"/>
        <v>1.2500003032918046E-2</v>
      </c>
      <c r="L172" s="12">
        <f t="shared" si="31"/>
        <v>5.8822499917274285E-6</v>
      </c>
      <c r="M172" s="7" t="str">
        <f t="shared" si="32"/>
        <v>no</v>
      </c>
    </row>
    <row r="173" spans="1:13" x14ac:dyDescent="0.35">
      <c r="A173" s="7">
        <v>158</v>
      </c>
      <c r="B173" s="12">
        <f t="shared" si="23"/>
        <v>-9.1445473451301496E-5</v>
      </c>
      <c r="C173" s="12">
        <f t="shared" si="24"/>
        <v>49</v>
      </c>
      <c r="D173" s="12">
        <f t="shared" si="25"/>
        <v>0.74994686383759712</v>
      </c>
      <c r="E173" s="12">
        <f t="shared" si="26"/>
        <v>3.9778654624456067E-5</v>
      </c>
      <c r="F173" s="12">
        <f t="shared" si="27"/>
        <v>7</v>
      </c>
      <c r="G173" s="12">
        <f t="shared" si="28"/>
        <v>5.0161799100672602E-2</v>
      </c>
      <c r="H173" s="12">
        <f t="shared" si="29"/>
        <v>-3.98435577420031E-6</v>
      </c>
      <c r="I173" s="12">
        <f>2</f>
        <v>2</v>
      </c>
      <c r="J173" s="12">
        <f t="shared" si="30"/>
        <v>0.54994327791740139</v>
      </c>
      <c r="K173" s="12">
        <f t="shared" si="22"/>
        <v>1.2500002830595545E-2</v>
      </c>
      <c r="L173" s="12">
        <f t="shared" si="31"/>
        <v>5.6826649463478929E-6</v>
      </c>
      <c r="M173" s="7" t="str">
        <f t="shared" si="32"/>
        <v>no</v>
      </c>
    </row>
    <row r="174" spans="1:13" x14ac:dyDescent="0.35">
      <c r="A174" s="7">
        <v>159</v>
      </c>
      <c r="B174" s="12">
        <f t="shared" si="23"/>
        <v>-8.8342723827850023E-5</v>
      </c>
      <c r="C174" s="12">
        <f t="shared" si="24"/>
        <v>49</v>
      </c>
      <c r="D174" s="12">
        <f t="shared" si="25"/>
        <v>0.74994866675032834</v>
      </c>
      <c r="E174" s="12">
        <f t="shared" si="26"/>
        <v>3.8428962822578683E-5</v>
      </c>
      <c r="F174" s="12">
        <f t="shared" si="27"/>
        <v>7</v>
      </c>
      <c r="G174" s="12">
        <f t="shared" si="28"/>
        <v>5.0156309248840805E-2</v>
      </c>
      <c r="H174" s="12">
        <f t="shared" si="29"/>
        <v>-3.8491663767459272E-6</v>
      </c>
      <c r="I174" s="12">
        <f>2</f>
        <v>2</v>
      </c>
      <c r="J174" s="12">
        <f t="shared" si="30"/>
        <v>0.54994520250058976</v>
      </c>
      <c r="K174" s="12">
        <f t="shared" si="22"/>
        <v>1.2500002641769759E-2</v>
      </c>
      <c r="L174" s="12">
        <f t="shared" si="31"/>
        <v>5.4898518317969547E-6</v>
      </c>
      <c r="M174" s="7" t="str">
        <f t="shared" si="32"/>
        <v>no</v>
      </c>
    </row>
    <row r="175" spans="1:13" x14ac:dyDescent="0.35">
      <c r="A175" s="7">
        <v>160</v>
      </c>
      <c r="B175" s="12">
        <f t="shared" si="23"/>
        <v>-8.5345250646184923E-5</v>
      </c>
      <c r="C175" s="12">
        <f t="shared" si="24"/>
        <v>49</v>
      </c>
      <c r="D175" s="12">
        <f t="shared" si="25"/>
        <v>0.7499504084901375</v>
      </c>
      <c r="E175" s="12">
        <f t="shared" si="26"/>
        <v>3.7125066130627715E-5</v>
      </c>
      <c r="F175" s="12">
        <f t="shared" si="27"/>
        <v>7</v>
      </c>
      <c r="G175" s="12">
        <f t="shared" si="28"/>
        <v>5.0151005667965001E-2</v>
      </c>
      <c r="H175" s="12">
        <f t="shared" si="29"/>
        <v>-3.7185639634174095E-6</v>
      </c>
      <c r="I175" s="12">
        <f>2</f>
        <v>2</v>
      </c>
      <c r="J175" s="12">
        <f t="shared" si="30"/>
        <v>0.54994706178257147</v>
      </c>
      <c r="K175" s="12">
        <f t="shared" si="22"/>
        <v>1.2500002465540311E-2</v>
      </c>
      <c r="L175" s="12">
        <f t="shared" si="31"/>
        <v>5.3035808758039593E-6</v>
      </c>
      <c r="M175" s="7" t="str">
        <f t="shared" si="32"/>
        <v>no</v>
      </c>
    </row>
    <row r="176" spans="1:13" x14ac:dyDescent="0.35">
      <c r="A176" s="7">
        <v>161</v>
      </c>
      <c r="B176" s="12">
        <f t="shared" si="23"/>
        <v>-8.2449481894286691E-5</v>
      </c>
      <c r="C176" s="12">
        <f t="shared" si="24"/>
        <v>49</v>
      </c>
      <c r="D176" s="12">
        <f t="shared" si="25"/>
        <v>0.74995209113262518</v>
      </c>
      <c r="E176" s="12">
        <f t="shared" si="26"/>
        <v>3.5865410723090463E-5</v>
      </c>
      <c r="F176" s="12">
        <f t="shared" si="27"/>
        <v>7</v>
      </c>
      <c r="G176" s="12">
        <f t="shared" si="28"/>
        <v>5.0145882037861703E-2</v>
      </c>
      <c r="H176" s="12">
        <f t="shared" si="29"/>
        <v>-3.5923928960457374E-6</v>
      </c>
      <c r="I176" s="12">
        <f>2</f>
        <v>2</v>
      </c>
      <c r="J176" s="12">
        <f t="shared" si="30"/>
        <v>0.54994885797901949</v>
      </c>
      <c r="K176" s="12">
        <f t="shared" si="22"/>
        <v>1.2500002301066964E-2</v>
      </c>
      <c r="L176" s="12">
        <f t="shared" si="31"/>
        <v>5.1236301032986376E-6</v>
      </c>
      <c r="M176" s="7" t="str">
        <f t="shared" si="32"/>
        <v>no</v>
      </c>
    </row>
    <row r="177" spans="1:13" x14ac:dyDescent="0.35">
      <c r="A177" s="7">
        <v>162</v>
      </c>
      <c r="B177" s="12">
        <f t="shared" si="23"/>
        <v>-7.9651966721883127E-5</v>
      </c>
      <c r="C177" s="12">
        <f t="shared" si="24"/>
        <v>49</v>
      </c>
      <c r="D177" s="12">
        <f t="shared" si="25"/>
        <v>0.7499537166829664</v>
      </c>
      <c r="E177" s="12">
        <f t="shared" si="26"/>
        <v>3.4648495486067077E-5</v>
      </c>
      <c r="F177" s="12">
        <f t="shared" si="27"/>
        <v>7</v>
      </c>
      <c r="G177" s="12">
        <f t="shared" si="28"/>
        <v>5.0140932252792265E-2</v>
      </c>
      <c r="H177" s="12">
        <f t="shared" si="29"/>
        <v>-3.4705028202353105E-6</v>
      </c>
      <c r="I177" s="12">
        <f>2</f>
        <v>2</v>
      </c>
      <c r="J177" s="12">
        <f t="shared" si="30"/>
        <v>0.54995059323042961</v>
      </c>
      <c r="K177" s="12">
        <f t="shared" si="22"/>
        <v>1.2500002147565423E-2</v>
      </c>
      <c r="L177" s="12">
        <f t="shared" si="31"/>
        <v>4.9497850694371626E-6</v>
      </c>
      <c r="M177" s="7" t="str">
        <f t="shared" si="32"/>
        <v>no</v>
      </c>
    </row>
    <row r="178" spans="1:13" x14ac:dyDescent="0.35">
      <c r="A178" s="7">
        <v>163</v>
      </c>
      <c r="B178" s="12">
        <f t="shared" si="23"/>
        <v>-7.6949371376144882E-5</v>
      </c>
      <c r="C178" s="12">
        <f t="shared" si="24"/>
        <v>49</v>
      </c>
      <c r="D178" s="12">
        <f t="shared" si="25"/>
        <v>0.74995528707830061</v>
      </c>
      <c r="E178" s="12">
        <f t="shared" si="26"/>
        <v>3.3472870246242792E-5</v>
      </c>
      <c r="F178" s="12">
        <f t="shared" si="27"/>
        <v>7</v>
      </c>
      <c r="G178" s="12">
        <f t="shared" si="28"/>
        <v>5.0136150414185662E-2</v>
      </c>
      <c r="H178" s="12">
        <f t="shared" si="29"/>
        <v>-3.3527484797346574E-6</v>
      </c>
      <c r="I178" s="12">
        <f>2</f>
        <v>2</v>
      </c>
      <c r="J178" s="12">
        <f t="shared" si="30"/>
        <v>0.54995226960466947</v>
      </c>
      <c r="K178" s="12">
        <f t="shared" si="22"/>
        <v>1.2500002004303793E-2</v>
      </c>
      <c r="L178" s="12">
        <f t="shared" si="31"/>
        <v>4.7818386066031393E-6</v>
      </c>
      <c r="M178" s="7" t="str">
        <f t="shared" si="32"/>
        <v>no</v>
      </c>
    </row>
    <row r="179" spans="1:13" x14ac:dyDescent="0.35">
      <c r="A179" s="7">
        <v>164</v>
      </c>
      <c r="B179" s="12">
        <f t="shared" si="23"/>
        <v>-7.4338475236856993E-5</v>
      </c>
      <c r="C179" s="12">
        <f t="shared" si="24"/>
        <v>49</v>
      </c>
      <c r="D179" s="12">
        <f t="shared" si="25"/>
        <v>0.74995680419004018</v>
      </c>
      <c r="E179" s="12">
        <f t="shared" si="26"/>
        <v>3.2337134030058223E-5</v>
      </c>
      <c r="F179" s="12">
        <f t="shared" si="27"/>
        <v>7</v>
      </c>
      <c r="G179" s="12">
        <f t="shared" si="28"/>
        <v>5.0131530823609938E-2</v>
      </c>
      <c r="H179" s="12">
        <f t="shared" si="29"/>
        <v>-3.2389895494588927E-6</v>
      </c>
      <c r="I179" s="12">
        <f>2</f>
        <v>2</v>
      </c>
      <c r="J179" s="12">
        <f t="shared" si="30"/>
        <v>0.5499538890994442</v>
      </c>
      <c r="K179" s="12">
        <f t="shared" si="22"/>
        <v>1.2500001870598966E-2</v>
      </c>
      <c r="L179" s="12">
        <f t="shared" si="31"/>
        <v>4.6195905757245859E-6</v>
      </c>
      <c r="M179" s="7" t="str">
        <f t="shared" si="32"/>
        <v>no</v>
      </c>
    </row>
    <row r="180" spans="1:13" x14ac:dyDescent="0.35">
      <c r="A180" s="7">
        <v>165</v>
      </c>
      <c r="B180" s="12">
        <f t="shared" si="23"/>
        <v>-7.181616694396098E-5</v>
      </c>
      <c r="C180" s="12">
        <f t="shared" si="24"/>
        <v>49</v>
      </c>
      <c r="D180" s="12">
        <f t="shared" si="25"/>
        <v>0.74995826982610025</v>
      </c>
      <c r="E180" s="12">
        <f t="shared" si="26"/>
        <v>3.1239933406368436E-5</v>
      </c>
      <c r="F180" s="12">
        <f t="shared" si="27"/>
        <v>7</v>
      </c>
      <c r="G180" s="12">
        <f t="shared" si="28"/>
        <v>5.0127067975980454E-2</v>
      </c>
      <c r="H180" s="12">
        <f t="shared" si="29"/>
        <v>-3.1290904685121745E-6</v>
      </c>
      <c r="I180" s="12">
        <f>2</f>
        <v>2</v>
      </c>
      <c r="J180" s="12">
        <f t="shared" si="30"/>
        <v>0.54995545364467846</v>
      </c>
      <c r="K180" s="12">
        <f t="shared" si="22"/>
        <v>1.2500001745813434E-2</v>
      </c>
      <c r="L180" s="12">
        <f t="shared" si="31"/>
        <v>4.462847629484179E-6</v>
      </c>
      <c r="M180" s="7" t="str">
        <f t="shared" si="32"/>
        <v>no</v>
      </c>
    </row>
    <row r="181" spans="1:13" x14ac:dyDescent="0.35">
      <c r="A181" s="7">
        <v>166</v>
      </c>
      <c r="B181" s="12">
        <f t="shared" si="23"/>
        <v>-6.9379440695627181E-5</v>
      </c>
      <c r="C181" s="12">
        <f t="shared" si="24"/>
        <v>49</v>
      </c>
      <c r="D181" s="12">
        <f t="shared" si="25"/>
        <v>0.74995968573305327</v>
      </c>
      <c r="E181" s="12">
        <f t="shared" si="26"/>
        <v>3.0179960857523724E-5</v>
      </c>
      <c r="F181" s="12">
        <f t="shared" si="27"/>
        <v>7</v>
      </c>
      <c r="G181" s="12">
        <f t="shared" si="28"/>
        <v>5.0122756553000809E-2</v>
      </c>
      <c r="H181" s="12">
        <f t="shared" si="29"/>
        <v>-3.0229202678810907E-6</v>
      </c>
      <c r="I181" s="12">
        <f>2</f>
        <v>2</v>
      </c>
      <c r="J181" s="12">
        <f t="shared" si="30"/>
        <v>0.5499569651048124</v>
      </c>
      <c r="K181" s="12">
        <f t="shared" si="22"/>
        <v>1.2500001629352253E-2</v>
      </c>
      <c r="L181" s="12">
        <f t="shared" si="31"/>
        <v>4.3114229796442638E-6</v>
      </c>
      <c r="M181" s="7" t="str">
        <f t="shared" si="32"/>
        <v>no</v>
      </c>
    </row>
    <row r="182" spans="1:13" x14ac:dyDescent="0.35">
      <c r="A182" s="7">
        <v>167</v>
      </c>
      <c r="B182" s="12">
        <f t="shared" si="23"/>
        <v>-6.7025392688435659E-5</v>
      </c>
      <c r="C182" s="12">
        <f t="shared" si="24"/>
        <v>49</v>
      </c>
      <c r="D182" s="12">
        <f t="shared" si="25"/>
        <v>0.74996105359821019</v>
      </c>
      <c r="E182" s="12">
        <f t="shared" si="26"/>
        <v>2.9155953226833731E-5</v>
      </c>
      <c r="F182" s="12">
        <f t="shared" si="27"/>
        <v>7</v>
      </c>
      <c r="G182" s="12">
        <f t="shared" si="28"/>
        <v>5.011859141682555E-2</v>
      </c>
      <c r="H182" s="12">
        <f t="shared" si="29"/>
        <v>-2.9203524274379333E-6</v>
      </c>
      <c r="I182" s="12">
        <f>2</f>
        <v>2</v>
      </c>
      <c r="J182" s="12">
        <f t="shared" si="30"/>
        <v>0.54995842528102612</v>
      </c>
      <c r="K182" s="12">
        <f t="shared" si="22"/>
        <v>1.2500001520660041E-2</v>
      </c>
      <c r="L182" s="12">
        <f t="shared" si="31"/>
        <v>4.1651361752589877E-6</v>
      </c>
      <c r="M182" s="7" t="str">
        <f t="shared" si="32"/>
        <v>no</v>
      </c>
    </row>
    <row r="183" spans="1:13" x14ac:dyDescent="0.35">
      <c r="A183" s="7">
        <v>168</v>
      </c>
      <c r="B183" s="12">
        <f t="shared" si="23"/>
        <v>-6.4751217649927639E-5</v>
      </c>
      <c r="C183" s="12">
        <f t="shared" si="24"/>
        <v>49</v>
      </c>
      <c r="D183" s="12">
        <f t="shared" si="25"/>
        <v>0.74996237505163166</v>
      </c>
      <c r="E183" s="12">
        <f t="shared" si="26"/>
        <v>2.8166690226427704E-5</v>
      </c>
      <c r="F183" s="12">
        <f t="shared" si="27"/>
        <v>7</v>
      </c>
      <c r="G183" s="12">
        <f t="shared" si="28"/>
        <v>5.011456760393606E-2</v>
      </c>
      <c r="H183" s="12">
        <f t="shared" si="29"/>
        <v>-2.8212647178449402E-6</v>
      </c>
      <c r="I183" s="12">
        <f>2</f>
        <v>2</v>
      </c>
      <c r="J183" s="12">
        <f t="shared" si="30"/>
        <v>0.54995983591338504</v>
      </c>
      <c r="K183" s="12">
        <f t="shared" si="22"/>
        <v>1.2500001419218542E-2</v>
      </c>
      <c r="L183" s="12">
        <f t="shared" si="31"/>
        <v>4.0238128894906633E-6</v>
      </c>
      <c r="M183" s="7" t="str">
        <f t="shared" si="32"/>
        <v>no</v>
      </c>
    </row>
    <row r="184" spans="1:13" x14ac:dyDescent="0.35">
      <c r="A184" s="7">
        <v>169</v>
      </c>
      <c r="B184" s="12">
        <f t="shared" si="23"/>
        <v>-6.2554205506160088E-5</v>
      </c>
      <c r="C184" s="12">
        <f t="shared" si="24"/>
        <v>49</v>
      </c>
      <c r="D184" s="12">
        <f t="shared" si="25"/>
        <v>0.74996365166807055</v>
      </c>
      <c r="E184" s="12">
        <f t="shared" si="26"/>
        <v>2.7210992978865534E-5</v>
      </c>
      <c r="F184" s="12">
        <f t="shared" si="27"/>
        <v>7</v>
      </c>
      <c r="G184" s="12">
        <f t="shared" si="28"/>
        <v>5.011068031922479E-2</v>
      </c>
      <c r="H184" s="12">
        <f t="shared" si="29"/>
        <v>-2.725539061998461E-6</v>
      </c>
      <c r="I184" s="12">
        <f>2</f>
        <v>2</v>
      </c>
      <c r="J184" s="12">
        <f t="shared" si="30"/>
        <v>0.54996119868291604</v>
      </c>
      <c r="K184" s="12">
        <f t="shared" si="22"/>
        <v>1.250000132454409E-2</v>
      </c>
      <c r="L184" s="12">
        <f t="shared" si="31"/>
        <v>3.8872847112694786E-6</v>
      </c>
      <c r="M184" s="7" t="str">
        <f t="shared" si="32"/>
        <v>no</v>
      </c>
    </row>
    <row r="185" spans="1:13" x14ac:dyDescent="0.35">
      <c r="A185" s="7">
        <v>170</v>
      </c>
      <c r="B185" s="12">
        <f t="shared" si="23"/>
        <v>-6.0431738084787412E-5</v>
      </c>
      <c r="C185" s="12">
        <f t="shared" si="24"/>
        <v>49</v>
      </c>
      <c r="D185" s="12">
        <f t="shared" si="25"/>
        <v>0.74996488496884783</v>
      </c>
      <c r="E185" s="12">
        <f t="shared" si="26"/>
        <v>2.6287722583617779E-5</v>
      </c>
      <c r="F185" s="12">
        <f t="shared" si="27"/>
        <v>7</v>
      </c>
      <c r="G185" s="12">
        <f t="shared" si="28"/>
        <v>5.010692493028427E-2</v>
      </c>
      <c r="H185" s="12">
        <f t="shared" si="29"/>
        <v>-2.6330613804859127E-6</v>
      </c>
      <c r="I185" s="12">
        <f>2</f>
        <v>2</v>
      </c>
      <c r="J185" s="12">
        <f t="shared" si="30"/>
        <v>0.54996251521360628</v>
      </c>
      <c r="K185" s="12">
        <f t="shared" si="22"/>
        <v>1.2500001236185268E-2</v>
      </c>
      <c r="L185" s="12">
        <f t="shared" si="31"/>
        <v>3.7553889405197993E-6</v>
      </c>
      <c r="M185" s="7" t="str">
        <f t="shared" si="32"/>
        <v>no</v>
      </c>
    </row>
    <row r="186" spans="1:13" x14ac:dyDescent="0.35">
      <c r="A186" s="7">
        <v>171</v>
      </c>
      <c r="B186" s="12">
        <f t="shared" si="23"/>
        <v>-5.8381286095254836E-5</v>
      </c>
      <c r="C186" s="12">
        <f t="shared" si="24"/>
        <v>49</v>
      </c>
      <c r="D186" s="12">
        <f t="shared" si="25"/>
        <v>0.74996607642366608</v>
      </c>
      <c r="E186" s="12">
        <f t="shared" si="26"/>
        <v>2.5395778799008895E-5</v>
      </c>
      <c r="F186" s="12">
        <f t="shared" si="27"/>
        <v>7</v>
      </c>
      <c r="G186" s="12">
        <f t="shared" si="28"/>
        <v>5.0103296961884411E-2</v>
      </c>
      <c r="H186" s="12">
        <f t="shared" si="29"/>
        <v>-2.5437214716816925E-6</v>
      </c>
      <c r="I186" s="12">
        <f>2</f>
        <v>2</v>
      </c>
      <c r="J186" s="12">
        <f t="shared" si="30"/>
        <v>0.54996378707434213</v>
      </c>
      <c r="K186" s="12">
        <f t="shared" si="22"/>
        <v>1.2500001153720743E-2</v>
      </c>
      <c r="L186" s="12">
        <f t="shared" si="31"/>
        <v>3.6279683998594048E-6</v>
      </c>
      <c r="M186" s="7" t="str">
        <f t="shared" si="32"/>
        <v>no</v>
      </c>
    </row>
    <row r="187" spans="1:13" x14ac:dyDescent="0.35">
      <c r="A187" s="7">
        <v>172</v>
      </c>
      <c r="B187" s="12">
        <f t="shared" si="23"/>
        <v>-5.6400406052148355E-5</v>
      </c>
      <c r="C187" s="12">
        <f t="shared" si="24"/>
        <v>49</v>
      </c>
      <c r="D187" s="12">
        <f t="shared" si="25"/>
        <v>0.749967227452361</v>
      </c>
      <c r="E187" s="12">
        <f t="shared" si="26"/>
        <v>2.4534098715278674E-5</v>
      </c>
      <c r="F187" s="12">
        <f t="shared" si="27"/>
        <v>7</v>
      </c>
      <c r="G187" s="12">
        <f t="shared" si="28"/>
        <v>5.0099792090639368E-2</v>
      </c>
      <c r="H187" s="12">
        <f t="shared" si="29"/>
        <v>-2.4574128705268095E-6</v>
      </c>
      <c r="I187" s="12">
        <f>2</f>
        <v>2</v>
      </c>
      <c r="J187" s="12">
        <f t="shared" si="30"/>
        <v>0.54996501578077739</v>
      </c>
      <c r="K187" s="12">
        <f t="shared" si="22"/>
        <v>1.2500001076757396E-2</v>
      </c>
      <c r="L187" s="12">
        <f t="shared" si="31"/>
        <v>3.5048712450427844E-6</v>
      </c>
      <c r="M187" s="7" t="str">
        <f t="shared" si="32"/>
        <v>no</v>
      </c>
    </row>
    <row r="188" spans="1:13" x14ac:dyDescent="0.35">
      <c r="A188" s="7">
        <v>173</v>
      </c>
      <c r="B188" s="12">
        <f t="shared" si="23"/>
        <v>-5.448673735486409E-5</v>
      </c>
      <c r="C188" s="12">
        <f t="shared" si="24"/>
        <v>49</v>
      </c>
      <c r="D188" s="12">
        <f t="shared" si="25"/>
        <v>0.74996833942659269</v>
      </c>
      <c r="E188" s="12">
        <f t="shared" si="26"/>
        <v>2.3701655475605321E-5</v>
      </c>
      <c r="F188" s="12">
        <f t="shared" si="27"/>
        <v>7</v>
      </c>
      <c r="G188" s="12">
        <f t="shared" si="28"/>
        <v>5.0096406139857136E-2</v>
      </c>
      <c r="H188" s="12">
        <f t="shared" si="29"/>
        <v>-2.3740327250720838E-6</v>
      </c>
      <c r="I188" s="12">
        <f>2</f>
        <v>2</v>
      </c>
      <c r="J188" s="12">
        <f t="shared" si="30"/>
        <v>0.54996620279713992</v>
      </c>
      <c r="K188" s="12">
        <f t="shared" si="22"/>
        <v>1.2500001004928155E-2</v>
      </c>
      <c r="L188" s="12">
        <f t="shared" si="31"/>
        <v>3.3859507822323054E-6</v>
      </c>
      <c r="M188" s="7" t="str">
        <f t="shared" si="32"/>
        <v>no</v>
      </c>
    </row>
    <row r="189" spans="1:13" x14ac:dyDescent="0.35">
      <c r="A189" s="7">
        <v>174</v>
      </c>
      <c r="B189" s="12">
        <f t="shared" si="23"/>
        <v>-5.2637999544913328E-5</v>
      </c>
      <c r="C189" s="12">
        <f t="shared" si="24"/>
        <v>49</v>
      </c>
      <c r="D189" s="12">
        <f t="shared" si="25"/>
        <v>0.7499694136714814</v>
      </c>
      <c r="E189" s="12">
        <f t="shared" si="26"/>
        <v>2.2897457084170014E-5</v>
      </c>
      <c r="F189" s="12">
        <f t="shared" si="27"/>
        <v>7</v>
      </c>
      <c r="G189" s="12">
        <f t="shared" si="28"/>
        <v>5.0093135074559397E-2</v>
      </c>
      <c r="H189" s="12">
        <f t="shared" si="29"/>
        <v>-2.2934816721331686E-6</v>
      </c>
      <c r="I189" s="12">
        <f>2</f>
        <v>2</v>
      </c>
      <c r="J189" s="12">
        <f t="shared" si="30"/>
        <v>0.54996734953797599</v>
      </c>
      <c r="K189" s="12">
        <f t="shared" si="22"/>
        <v>1.2500000937890552E-2</v>
      </c>
      <c r="L189" s="12">
        <f t="shared" si="31"/>
        <v>3.2710652977385735E-6</v>
      </c>
      <c r="M189" s="7" t="str">
        <f t="shared" si="32"/>
        <v>no</v>
      </c>
    </row>
    <row r="190" spans="1:13" x14ac:dyDescent="0.35">
      <c r="A190" s="7">
        <v>175</v>
      </c>
      <c r="B190" s="12">
        <f t="shared" si="23"/>
        <v>-5.0851989513489571E-5</v>
      </c>
      <c r="C190" s="12">
        <f t="shared" si="24"/>
        <v>49</v>
      </c>
      <c r="D190" s="12">
        <f t="shared" si="25"/>
        <v>0.74997045146718577</v>
      </c>
      <c r="E190" s="12">
        <f t="shared" si="26"/>
        <v>2.2120545187576113E-5</v>
      </c>
      <c r="F190" s="12">
        <f t="shared" si="27"/>
        <v>7</v>
      </c>
      <c r="G190" s="12">
        <f t="shared" si="28"/>
        <v>5.008997499667546E-2</v>
      </c>
      <c r="H190" s="12">
        <f t="shared" si="29"/>
        <v>-2.2156637209391761E-6</v>
      </c>
      <c r="I190" s="12">
        <f>2</f>
        <v>2</v>
      </c>
      <c r="J190" s="12">
        <f t="shared" si="30"/>
        <v>0.54996845736983646</v>
      </c>
      <c r="K190" s="12">
        <f t="shared" si="22"/>
        <v>1.2500000875324893E-2</v>
      </c>
      <c r="L190" s="12">
        <f t="shared" si="31"/>
        <v>3.1600778839374621E-6</v>
      </c>
      <c r="M190" s="7" t="str">
        <f t="shared" si="32"/>
        <v>no</v>
      </c>
    </row>
    <row r="191" spans="1:13" x14ac:dyDescent="0.35">
      <c r="A191" s="7">
        <v>176</v>
      </c>
      <c r="B191" s="12">
        <f t="shared" si="23"/>
        <v>-4.9126578886671268E-5</v>
      </c>
      <c r="C191" s="12">
        <f t="shared" si="24"/>
        <v>49</v>
      </c>
      <c r="D191" s="12">
        <f t="shared" si="25"/>
        <v>0.74997145405042831</v>
      </c>
      <c r="E191" s="12">
        <f t="shared" si="26"/>
        <v>2.1369993946862564E-5</v>
      </c>
      <c r="F191" s="12">
        <f t="shared" si="27"/>
        <v>7</v>
      </c>
      <c r="G191" s="12">
        <f t="shared" si="28"/>
        <v>5.0086922140397339E-2</v>
      </c>
      <c r="H191" s="12">
        <f t="shared" si="29"/>
        <v>-2.1404861367813055E-6</v>
      </c>
      <c r="I191" s="12">
        <f>2</f>
        <v>2</v>
      </c>
      <c r="J191" s="12">
        <f t="shared" si="30"/>
        <v>0.54996952761290485</v>
      </c>
      <c r="K191" s="12">
        <f t="shared" si="22"/>
        <v>1.2500000816933017E-2</v>
      </c>
      <c r="L191" s="12">
        <f t="shared" si="31"/>
        <v>3.0528562781212409E-6</v>
      </c>
      <c r="M191" s="7" t="str">
        <f t="shared" si="32"/>
        <v>no</v>
      </c>
    </row>
    <row r="192" spans="1:13" x14ac:dyDescent="0.35">
      <c r="A192" s="7">
        <v>177</v>
      </c>
      <c r="B192" s="12">
        <f t="shared" si="23"/>
        <v>-4.7459711524311388E-5</v>
      </c>
      <c r="C192" s="12">
        <f t="shared" si="24"/>
        <v>49</v>
      </c>
      <c r="D192" s="12">
        <f t="shared" si="25"/>
        <v>0.74997242261596964</v>
      </c>
      <c r="E192" s="12">
        <f t="shared" si="26"/>
        <v>2.0644908948597163E-5</v>
      </c>
      <c r="F192" s="12">
        <f t="shared" si="27"/>
        <v>7</v>
      </c>
      <c r="G192" s="12">
        <f t="shared" si="28"/>
        <v>5.0083972867690396E-2</v>
      </c>
      <c r="H192" s="12">
        <f t="shared" si="29"/>
        <v>-2.067859331766897E-6</v>
      </c>
      <c r="I192" s="12">
        <f>2</f>
        <v>2</v>
      </c>
      <c r="J192" s="12">
        <f t="shared" si="30"/>
        <v>0.54997056154257074</v>
      </c>
      <c r="K192" s="12">
        <f t="shared" si="22"/>
        <v>1.2500000762436318E-2</v>
      </c>
      <c r="L192" s="12">
        <f t="shared" si="31"/>
        <v>2.9492727069424518E-6</v>
      </c>
      <c r="M192" s="7" t="str">
        <f t="shared" si="32"/>
        <v>no</v>
      </c>
    </row>
    <row r="193" spans="1:13" x14ac:dyDescent="0.35">
      <c r="A193" s="7">
        <v>178</v>
      </c>
      <c r="B193" s="12">
        <f t="shared" si="23"/>
        <v>-4.5849401061559547E-5</v>
      </c>
      <c r="C193" s="12">
        <f t="shared" si="24"/>
        <v>49</v>
      </c>
      <c r="D193" s="12">
        <f t="shared" si="25"/>
        <v>0.74997335831803214</v>
      </c>
      <c r="E193" s="12">
        <f t="shared" si="26"/>
        <v>1.9944426123075232E-5</v>
      </c>
      <c r="F193" s="12">
        <f t="shared" si="27"/>
        <v>7</v>
      </c>
      <c r="G193" s="12">
        <f t="shared" si="28"/>
        <v>5.0081123663958525E-2</v>
      </c>
      <c r="H193" s="12">
        <f t="shared" si="29"/>
        <v>-1.9976967582380212E-6</v>
      </c>
      <c r="I193" s="12">
        <f>2</f>
        <v>2</v>
      </c>
      <c r="J193" s="12">
        <f t="shared" si="30"/>
        <v>0.54997156039094985</v>
      </c>
      <c r="K193" s="12">
        <f t="shared" si="22"/>
        <v>1.2500000711575086E-2</v>
      </c>
      <c r="L193" s="12">
        <f t="shared" si="31"/>
        <v>2.8492037318708641E-6</v>
      </c>
      <c r="M193" s="7" t="str">
        <f t="shared" si="32"/>
        <v>no</v>
      </c>
    </row>
    <row r="194" spans="1:13" x14ac:dyDescent="0.35">
      <c r="A194" s="7">
        <v>179</v>
      </c>
      <c r="B194" s="12">
        <f t="shared" si="23"/>
        <v>-4.4293728521438425E-5</v>
      </c>
      <c r="C194" s="12">
        <f t="shared" si="24"/>
        <v>49</v>
      </c>
      <c r="D194" s="12">
        <f t="shared" si="25"/>
        <v>0.74997426227167541</v>
      </c>
      <c r="E194" s="12">
        <f t="shared" si="26"/>
        <v>1.9267710715809017E-5</v>
      </c>
      <c r="F194" s="12">
        <f t="shared" si="27"/>
        <v>7</v>
      </c>
      <c r="G194" s="12">
        <f t="shared" si="28"/>
        <v>5.007837113385627E-2</v>
      </c>
      <c r="H194" s="12">
        <f t="shared" si="29"/>
        <v>-1.929914803966426E-6</v>
      </c>
      <c r="I194" s="12">
        <f>2</f>
        <v>2</v>
      </c>
      <c r="J194" s="12">
        <f t="shared" si="30"/>
        <v>0.54997252534835184</v>
      </c>
      <c r="K194" s="12">
        <f t="shared" si="22"/>
        <v>1.2500000664106716E-2</v>
      </c>
      <c r="L194" s="12">
        <f t="shared" si="31"/>
        <v>2.7525301022554571E-6</v>
      </c>
      <c r="M194" s="7" t="str">
        <f t="shared" si="32"/>
        <v>no</v>
      </c>
    </row>
    <row r="195" spans="1:13" x14ac:dyDescent="0.35">
      <c r="A195" s="7">
        <v>180</v>
      </c>
      <c r="B195" s="12">
        <f t="shared" si="23"/>
        <v>-4.2790840026896149E-5</v>
      </c>
      <c r="C195" s="12">
        <f t="shared" si="24"/>
        <v>49</v>
      </c>
      <c r="D195" s="12">
        <f t="shared" si="25"/>
        <v>0.74997513555412498</v>
      </c>
      <c r="E195" s="12">
        <f t="shared" si="26"/>
        <v>1.861395629987328E-5</v>
      </c>
      <c r="F195" s="12">
        <f t="shared" si="27"/>
        <v>7</v>
      </c>
      <c r="G195" s="12">
        <f t="shared" si="28"/>
        <v>5.0075711997241999E-2</v>
      </c>
      <c r="H195" s="12">
        <f t="shared" si="29"/>
        <v>-1.8644326953420887E-6</v>
      </c>
      <c r="I195" s="12">
        <f>2</f>
        <v>2</v>
      </c>
      <c r="J195" s="12">
        <f t="shared" si="30"/>
        <v>0.54997345756469951</v>
      </c>
      <c r="K195" s="12">
        <f t="shared" si="22"/>
        <v>1.2500000619804885E-2</v>
      </c>
      <c r="L195" s="12">
        <f t="shared" si="31"/>
        <v>2.6591366142705852E-6</v>
      </c>
      <c r="M195" s="7" t="str">
        <f t="shared" si="32"/>
        <v>no</v>
      </c>
    </row>
    <row r="196" spans="1:13" x14ac:dyDescent="0.35">
      <c r="A196" s="7">
        <v>181</v>
      </c>
      <c r="B196" s="12">
        <f t="shared" si="23"/>
        <v>-4.1338944619440099E-5</v>
      </c>
      <c r="C196" s="12">
        <f t="shared" si="24"/>
        <v>49</v>
      </c>
      <c r="D196" s="12">
        <f t="shared" si="25"/>
        <v>0.74997597920605596</v>
      </c>
      <c r="E196" s="12">
        <f t="shared" si="26"/>
        <v>1.7982383798909041E-5</v>
      </c>
      <c r="F196" s="12">
        <f t="shared" si="27"/>
        <v>7</v>
      </c>
      <c r="G196" s="12">
        <f t="shared" si="28"/>
        <v>5.0073143085270728E-2</v>
      </c>
      <c r="H196" s="12">
        <f t="shared" si="29"/>
        <v>-1.8011723970090543E-6</v>
      </c>
      <c r="I196" s="12">
        <f>2</f>
        <v>2</v>
      </c>
      <c r="J196" s="12">
        <f t="shared" si="30"/>
        <v>0.54997435815089801</v>
      </c>
      <c r="K196" s="12">
        <f t="shared" si="22"/>
        <v>1.2500000578458442E-2</v>
      </c>
      <c r="L196" s="12">
        <f t="shared" si="31"/>
        <v>2.5689119712707376E-6</v>
      </c>
      <c r="M196" s="7" t="str">
        <f t="shared" si="32"/>
        <v>no</v>
      </c>
    </row>
    <row r="197" spans="1:13" x14ac:dyDescent="0.35">
      <c r="A197" s="7">
        <v>182</v>
      </c>
      <c r="B197" s="12">
        <f t="shared" si="23"/>
        <v>-3.993631209908699E-5</v>
      </c>
      <c r="C197" s="12">
        <f t="shared" si="24"/>
        <v>49</v>
      </c>
      <c r="D197" s="12">
        <f t="shared" si="25"/>
        <v>0.74997679423283348</v>
      </c>
      <c r="E197" s="12">
        <f t="shared" si="26"/>
        <v>1.7372240591839727E-5</v>
      </c>
      <c r="F197" s="12">
        <f t="shared" si="27"/>
        <v>7</v>
      </c>
      <c r="G197" s="12">
        <f t="shared" si="28"/>
        <v>5.0070661336614752E-2</v>
      </c>
      <c r="H197" s="12">
        <f t="shared" si="29"/>
        <v>-1.7400585257121293E-6</v>
      </c>
      <c r="I197" s="12">
        <f>2</f>
        <v>2</v>
      </c>
      <c r="J197" s="12">
        <f t="shared" si="30"/>
        <v>0.54997522818016087</v>
      </c>
      <c r="K197" s="12">
        <f t="shared" si="22"/>
        <v>1.2500000539870142E-2</v>
      </c>
      <c r="L197" s="12">
        <f t="shared" si="31"/>
        <v>2.4817486559761126E-6</v>
      </c>
      <c r="M197" s="7" t="str">
        <f t="shared" si="32"/>
        <v>no</v>
      </c>
    </row>
    <row r="198" spans="1:13" x14ac:dyDescent="0.35">
      <c r="A198" s="7">
        <v>183</v>
      </c>
      <c r="B198" s="12">
        <f t="shared" si="23"/>
        <v>-3.8581270963788938E-5</v>
      </c>
      <c r="C198" s="12">
        <f t="shared" si="24"/>
        <v>49</v>
      </c>
      <c r="D198" s="12">
        <f t="shared" si="25"/>
        <v>0.74997758160571026</v>
      </c>
      <c r="E198" s="12">
        <f t="shared" si="26"/>
        <v>1.6782799571402052E-5</v>
      </c>
      <c r="F198" s="12">
        <f t="shared" si="27"/>
        <v>7</v>
      </c>
      <c r="G198" s="12">
        <f t="shared" si="28"/>
        <v>5.0068263793818839E-2</v>
      </c>
      <c r="H198" s="12">
        <f t="shared" si="29"/>
        <v>-1.6810182499327198E-6</v>
      </c>
      <c r="I198" s="12">
        <f>2</f>
        <v>2</v>
      </c>
      <c r="J198" s="12">
        <f t="shared" si="30"/>
        <v>0.54997606868928584</v>
      </c>
      <c r="K198" s="12">
        <f t="shared" si="22"/>
        <v>1.2500000503856024E-2</v>
      </c>
      <c r="L198" s="12">
        <f t="shared" si="31"/>
        <v>2.3975427959135875E-6</v>
      </c>
      <c r="M198" s="7" t="str">
        <f t="shared" si="32"/>
        <v>no</v>
      </c>
    </row>
    <row r="199" spans="1:13" x14ac:dyDescent="0.35">
      <c r="A199" s="7">
        <v>184</v>
      </c>
      <c r="B199" s="12">
        <f t="shared" si="23"/>
        <v>-3.7272206462546364E-5</v>
      </c>
      <c r="C199" s="12">
        <f t="shared" si="24"/>
        <v>49</v>
      </c>
      <c r="D199" s="12">
        <f t="shared" si="25"/>
        <v>0.74997834226298499</v>
      </c>
      <c r="E199" s="12">
        <f t="shared" si="26"/>
        <v>1.6213358318140081E-5</v>
      </c>
      <c r="F199" s="12">
        <f t="shared" si="27"/>
        <v>7</v>
      </c>
      <c r="G199" s="12">
        <f t="shared" si="28"/>
        <v>5.006594759977339E-2</v>
      </c>
      <c r="H199" s="12">
        <f t="shared" si="29"/>
        <v>-1.6239812126173092E-6</v>
      </c>
      <c r="I199" s="12">
        <f>2</f>
        <v>2</v>
      </c>
      <c r="J199" s="12">
        <f t="shared" si="30"/>
        <v>0.54997688067989214</v>
      </c>
      <c r="K199" s="12">
        <f t="shared" si="22"/>
        <v>1.2500000470244365E-2</v>
      </c>
      <c r="L199" s="12">
        <f t="shared" si="31"/>
        <v>2.316194045448583E-6</v>
      </c>
      <c r="M199" s="7" t="str">
        <f t="shared" si="32"/>
        <v>no</v>
      </c>
    </row>
    <row r="200" spans="1:13" x14ac:dyDescent="0.35">
      <c r="A200" s="7">
        <v>185</v>
      </c>
      <c r="B200" s="12">
        <f t="shared" si="23"/>
        <v>-3.6007558570361198E-5</v>
      </c>
      <c r="C200" s="12">
        <f t="shared" si="24"/>
        <v>49</v>
      </c>
      <c r="D200" s="12">
        <f t="shared" si="25"/>
        <v>0.74997907711111911</v>
      </c>
      <c r="E200" s="12">
        <f t="shared" si="26"/>
        <v>1.5663238233543098E-5</v>
      </c>
      <c r="F200" s="12">
        <f t="shared" si="27"/>
        <v>7</v>
      </c>
      <c r="G200" s="12">
        <f t="shared" si="28"/>
        <v>5.0063709994311457E-2</v>
      </c>
      <c r="H200" s="12">
        <f t="shared" si="29"/>
        <v>-1.5688794476886869E-6</v>
      </c>
      <c r="I200" s="12">
        <f>2</f>
        <v>2</v>
      </c>
      <c r="J200" s="12">
        <f t="shared" si="30"/>
        <v>0.54997766511961599</v>
      </c>
      <c r="K200" s="12">
        <f t="shared" si="22"/>
        <v>1.2500000438874935E-2</v>
      </c>
      <c r="L200" s="12">
        <f t="shared" si="31"/>
        <v>2.2376054619327457E-6</v>
      </c>
      <c r="M200" s="7" t="str">
        <f t="shared" si="32"/>
        <v>no</v>
      </c>
    </row>
    <row r="201" spans="1:13" x14ac:dyDescent="0.35">
      <c r="A201" s="7">
        <v>186</v>
      </c>
      <c r="B201" s="12">
        <f t="shared" si="23"/>
        <v>-3.4785820240301746E-5</v>
      </c>
      <c r="C201" s="12">
        <f t="shared" si="24"/>
        <v>49</v>
      </c>
      <c r="D201" s="12">
        <f t="shared" si="25"/>
        <v>0.74997978702581791</v>
      </c>
      <c r="E201" s="12">
        <f t="shared" si="26"/>
        <v>1.5131783749566807E-5</v>
      </c>
      <c r="F201" s="12">
        <f t="shared" si="27"/>
        <v>7</v>
      </c>
      <c r="G201" s="12">
        <f t="shared" si="28"/>
        <v>5.0061548310918663E-2</v>
      </c>
      <c r="H201" s="12">
        <f t="shared" si="29"/>
        <v>-1.5156472858990355E-6</v>
      </c>
      <c r="I201" s="12">
        <f>2</f>
        <v>2</v>
      </c>
      <c r="J201" s="12">
        <f t="shared" si="30"/>
        <v>0.54997842294325894</v>
      </c>
      <c r="K201" s="12">
        <f t="shared" si="22"/>
        <v>1.2500000409598032E-2</v>
      </c>
      <c r="L201" s="12">
        <f t="shared" si="31"/>
        <v>2.1616833927942669E-6</v>
      </c>
      <c r="M201" s="7" t="str">
        <f t="shared" si="32"/>
        <v>no</v>
      </c>
    </row>
    <row r="202" spans="1:13" x14ac:dyDescent="0.35">
      <c r="A202" s="7">
        <v>187</v>
      </c>
      <c r="B202" s="12">
        <f t="shared" si="23"/>
        <v>-3.3605535570302436E-5</v>
      </c>
      <c r="C202" s="12">
        <f t="shared" si="24"/>
        <v>49</v>
      </c>
      <c r="D202" s="12">
        <f t="shared" si="25"/>
        <v>0.74998047285307445</v>
      </c>
      <c r="E202" s="12">
        <f t="shared" si="26"/>
        <v>1.4618361548812686E-5</v>
      </c>
      <c r="F202" s="12">
        <f t="shared" si="27"/>
        <v>7</v>
      </c>
      <c r="G202" s="12">
        <f t="shared" si="28"/>
        <v>5.005945997355455E-2</v>
      </c>
      <c r="H202" s="12">
        <f t="shared" si="29"/>
        <v>-1.4642212979865121E-6</v>
      </c>
      <c r="I202" s="12">
        <f>2</f>
        <v>2</v>
      </c>
      <c r="J202" s="12">
        <f t="shared" si="30"/>
        <v>0.54997915505390793</v>
      </c>
      <c r="K202" s="12">
        <f t="shared" si="22"/>
        <v>1.250000038227426E-2</v>
      </c>
      <c r="L202" s="12">
        <f t="shared" si="31"/>
        <v>2.0883373641131242E-6</v>
      </c>
      <c r="M202" s="7" t="str">
        <f t="shared" si="32"/>
        <v>no</v>
      </c>
    </row>
    <row r="203" spans="1:13" x14ac:dyDescent="0.35">
      <c r="A203" s="7">
        <v>188</v>
      </c>
      <c r="B203" s="12">
        <f t="shared" si="23"/>
        <v>-3.2465298005490695E-5</v>
      </c>
      <c r="C203" s="12">
        <f t="shared" si="24"/>
        <v>49</v>
      </c>
      <c r="D203" s="12">
        <f t="shared" si="25"/>
        <v>0.74998113541017664</v>
      </c>
      <c r="E203" s="12">
        <f t="shared" si="26"/>
        <v>1.4122359784707328E-5</v>
      </c>
      <c r="F203" s="12">
        <f t="shared" si="27"/>
        <v>7</v>
      </c>
      <c r="G203" s="12">
        <f t="shared" si="28"/>
        <v>5.0057442493585305E-2</v>
      </c>
      <c r="H203" s="12">
        <f t="shared" si="29"/>
        <v>-1.4145401916465516E-6</v>
      </c>
      <c r="I203" s="12">
        <f>2</f>
        <v>2</v>
      </c>
      <c r="J203" s="12">
        <f t="shared" si="30"/>
        <v>0.54997986232400375</v>
      </c>
      <c r="K203" s="12">
        <f t="shared" si="22"/>
        <v>1.2500000356773176E-2</v>
      </c>
      <c r="L203" s="12">
        <f t="shared" si="31"/>
        <v>2.0174799692448953E-6</v>
      </c>
      <c r="M203" s="7" t="str">
        <f t="shared" si="32"/>
        <v>no</v>
      </c>
    </row>
    <row r="204" spans="1:13" x14ac:dyDescent="0.35">
      <c r="A204" s="7">
        <v>189</v>
      </c>
      <c r="B204" s="12">
        <f t="shared" si="23"/>
        <v>-3.1363748782098355E-5</v>
      </c>
      <c r="C204" s="12">
        <f t="shared" si="24"/>
        <v>49</v>
      </c>
      <c r="D204" s="12">
        <f t="shared" si="25"/>
        <v>0.74998177548668243</v>
      </c>
      <c r="E204" s="12">
        <f t="shared" si="26"/>
        <v>1.3643187394052347E-5</v>
      </c>
      <c r="F204" s="12">
        <f t="shared" si="27"/>
        <v>7</v>
      </c>
      <c r="G204" s="12">
        <f t="shared" si="28"/>
        <v>5.0055493466814725E-2</v>
      </c>
      <c r="H204" s="12">
        <f t="shared" si="29"/>
        <v>-1.3665447715638379E-6</v>
      </c>
      <c r="I204" s="12">
        <f>2</f>
        <v>2</v>
      </c>
      <c r="J204" s="12">
        <f t="shared" si="30"/>
        <v>0.54998054559638954</v>
      </c>
      <c r="K204" s="12">
        <f t="shared" si="22"/>
        <v>1.2500000332973207E-2</v>
      </c>
      <c r="L204" s="12">
        <f t="shared" si="31"/>
        <v>1.949026770579898E-6</v>
      </c>
      <c r="M204" s="7" t="str">
        <f t="shared" si="32"/>
        <v>no</v>
      </c>
    </row>
    <row r="205" spans="1:13" x14ac:dyDescent="0.35">
      <c r="A205" s="7">
        <v>190</v>
      </c>
      <c r="B205" s="12">
        <f t="shared" si="23"/>
        <v>-3.0299575165315673E-5</v>
      </c>
      <c r="C205" s="12">
        <f t="shared" si="24"/>
        <v>49</v>
      </c>
      <c r="D205" s="12">
        <f t="shared" si="25"/>
        <v>0.74998239384535925</v>
      </c>
      <c r="E205" s="12">
        <f t="shared" si="26"/>
        <v>1.318027333852001E-5</v>
      </c>
      <c r="F205" s="12">
        <f t="shared" si="27"/>
        <v>7</v>
      </c>
      <c r="G205" s="12">
        <f t="shared" si="28"/>
        <v>5.0053610570623505E-2</v>
      </c>
      <c r="H205" s="12">
        <f t="shared" si="29"/>
        <v>-1.3201778354954286E-6</v>
      </c>
      <c r="I205" s="12">
        <f>2</f>
        <v>2</v>
      </c>
      <c r="J205" s="12">
        <f t="shared" si="30"/>
        <v>0.54998120568530728</v>
      </c>
      <c r="K205" s="12">
        <f t="shared" si="22"/>
        <v>1.2500000310760994E-2</v>
      </c>
      <c r="L205" s="12">
        <f t="shared" si="31"/>
        <v>1.8828961912201181E-6</v>
      </c>
      <c r="M205" s="7" t="str">
        <f t="shared" si="32"/>
        <v>no</v>
      </c>
    </row>
    <row r="206" spans="1:13" x14ac:dyDescent="0.35">
      <c r="A206" s="7">
        <v>191</v>
      </c>
      <c r="B206" s="12">
        <f t="shared" si="23"/>
        <v>-2.9271509028205855E-5</v>
      </c>
      <c r="C206" s="12">
        <f t="shared" si="24"/>
        <v>49</v>
      </c>
      <c r="D206" s="12">
        <f t="shared" si="25"/>
        <v>0.74998299122309453</v>
      </c>
      <c r="E206" s="12">
        <f t="shared" si="26"/>
        <v>1.2733065988257408E-5</v>
      </c>
      <c r="F206" s="12">
        <f t="shared" si="27"/>
        <v>7</v>
      </c>
      <c r="G206" s="12">
        <f t="shared" si="28"/>
        <v>5.0051791561196608E-2</v>
      </c>
      <c r="H206" s="12">
        <f t="shared" si="29"/>
        <v>-1.2753841343027261E-6</v>
      </c>
      <c r="I206" s="12">
        <f>2</f>
        <v>2</v>
      </c>
      <c r="J206" s="12">
        <f t="shared" si="30"/>
        <v>0.54998184337737444</v>
      </c>
      <c r="K206" s="12">
        <f t="shared" si="22"/>
        <v>1.2500000290030441E-2</v>
      </c>
      <c r="L206" s="12">
        <f t="shared" si="31"/>
        <v>1.8190094268968893E-6</v>
      </c>
      <c r="M206" s="7" t="str">
        <f t="shared" si="32"/>
        <v>no</v>
      </c>
    </row>
    <row r="207" spans="1:13" x14ac:dyDescent="0.35">
      <c r="A207" s="7">
        <v>192</v>
      </c>
      <c r="B207" s="12">
        <f t="shared" si="23"/>
        <v>-2.8278325210351341E-5</v>
      </c>
      <c r="C207" s="12">
        <f t="shared" si="24"/>
        <v>49</v>
      </c>
      <c r="D207" s="12">
        <f t="shared" si="25"/>
        <v>0.74998356833177227</v>
      </c>
      <c r="E207" s="12">
        <f t="shared" si="26"/>
        <v>1.2301032400685585E-5</v>
      </c>
      <c r="F207" s="12">
        <f t="shared" si="27"/>
        <v>7</v>
      </c>
      <c r="G207" s="12">
        <f t="shared" si="28"/>
        <v>5.0050034270853652E-2</v>
      </c>
      <c r="H207" s="12">
        <f t="shared" si="29"/>
        <v>-1.2321102840218146E-6</v>
      </c>
      <c r="I207" s="12">
        <f>2</f>
        <v>2</v>
      </c>
      <c r="J207" s="12">
        <f t="shared" si="30"/>
        <v>0.54998245943251645</v>
      </c>
      <c r="K207" s="12">
        <f t="shared" ref="K207:K270" si="33">SUMPRODUCT((D207*$B$6:$B$9^2+G207*$B$6:$B$9+J207-$C$6:$C$9)^2)/$F$5</f>
        <v>1.2500000270682864E-2</v>
      </c>
      <c r="L207" s="12">
        <f t="shared" si="31"/>
        <v>1.7572903429560749E-6</v>
      </c>
      <c r="M207" s="7" t="str">
        <f t="shared" si="32"/>
        <v>no</v>
      </c>
    </row>
    <row r="208" spans="1:13" x14ac:dyDescent="0.35">
      <c r="A208" s="7">
        <v>193</v>
      </c>
      <c r="B208" s="12">
        <f t="shared" ref="B208:B271" si="34">2/$F$5*($F$9*D207+$F$8*G207+$F$7*J207-$F$12)</f>
        <v>-2.7318840174928027E-5</v>
      </c>
      <c r="C208" s="12">
        <f t="shared" ref="C208:C271" si="35">2/$F$5*$F$9</f>
        <v>49</v>
      </c>
      <c r="D208" s="12">
        <f t="shared" ref="D208:D271" si="36">IF(M207="yes",D207,D207-B208/C208)</f>
        <v>0.74998412585912277</v>
      </c>
      <c r="E208" s="12">
        <f t="shared" ref="E208:E271" si="37">2/$F$5*($F$8*D208+$F$7*G207+$F$6*J207-$F$11)</f>
        <v>1.1883657734301778E-5</v>
      </c>
      <c r="F208" s="12">
        <f t="shared" ref="F208:F271" si="38">2/$F$5*$F$7</f>
        <v>7</v>
      </c>
      <c r="G208" s="12">
        <f t="shared" ref="G208:G271" si="39">IF(M207="yes",G207,G207-E208/F208)</f>
        <v>5.004833660546304E-2</v>
      </c>
      <c r="H208" s="12">
        <f t="shared" ref="H208:H271" si="40">2/$F$5*($F$7*D208+$F$6*G208+$F$5*J207-$F$10)</f>
        <v>-1.1903047187900029E-6</v>
      </c>
      <c r="I208" s="12">
        <f>2</f>
        <v>2</v>
      </c>
      <c r="J208" s="12">
        <f t="shared" ref="J208:J271" si="41">IF(M207="yes",J207,J207-H208/I208)</f>
        <v>0.54998305458487584</v>
      </c>
      <c r="K208" s="12">
        <f t="shared" si="33"/>
        <v>1.2500000252625959E-2</v>
      </c>
      <c r="L208" s="12">
        <f t="shared" ref="L208:L271" si="42">MAX(ABS(D208-D207),ABS(G208-G207),ABS(J208-J207))</f>
        <v>1.6976653906125572E-6</v>
      </c>
      <c r="M208" s="7" t="str">
        <f t="shared" ref="M208:M271" si="43">IF(OR(M207="yes",L208&lt;$I$5),"yes","no")</f>
        <v>no</v>
      </c>
    </row>
    <row r="209" spans="1:13" x14ac:dyDescent="0.35">
      <c r="A209" s="7">
        <v>194</v>
      </c>
      <c r="B209" s="12">
        <f t="shared" si="34"/>
        <v>-2.6391910516565531E-5</v>
      </c>
      <c r="C209" s="12">
        <f t="shared" si="35"/>
        <v>49</v>
      </c>
      <c r="D209" s="12">
        <f t="shared" si="36"/>
        <v>0.74998466446954148</v>
      </c>
      <c r="E209" s="12">
        <f t="shared" si="37"/>
        <v>1.1480444614520025E-5</v>
      </c>
      <c r="F209" s="12">
        <f t="shared" si="38"/>
        <v>7</v>
      </c>
      <c r="G209" s="12">
        <f t="shared" si="39"/>
        <v>5.0046696541946677E-2</v>
      </c>
      <c r="H209" s="12">
        <f t="shared" si="40"/>
        <v>-1.1499176180151949E-6</v>
      </c>
      <c r="I209" s="12">
        <f>2</f>
        <v>2</v>
      </c>
      <c r="J209" s="12">
        <f t="shared" si="41"/>
        <v>0.54998362954368485</v>
      </c>
      <c r="K209" s="12">
        <f t="shared" si="33"/>
        <v>1.250000023577354E-2</v>
      </c>
      <c r="L209" s="12">
        <f t="shared" si="42"/>
        <v>1.6400635163629773E-6</v>
      </c>
      <c r="M209" s="7" t="str">
        <f t="shared" si="43"/>
        <v>no</v>
      </c>
    </row>
    <row r="210" spans="1:13" x14ac:dyDescent="0.35">
      <c r="A210" s="7">
        <v>195</v>
      </c>
      <c r="B210" s="12">
        <f t="shared" si="34"/>
        <v>-2.5496431632632266E-5</v>
      </c>
      <c r="C210" s="12">
        <f t="shared" si="35"/>
        <v>49</v>
      </c>
      <c r="D210" s="12">
        <f t="shared" si="36"/>
        <v>0.74998518480488097</v>
      </c>
      <c r="E210" s="12">
        <f t="shared" si="37"/>
        <v>1.1090912540367981E-5</v>
      </c>
      <c r="F210" s="12">
        <f t="shared" si="38"/>
        <v>7</v>
      </c>
      <c r="G210" s="12">
        <f t="shared" si="39"/>
        <v>5.0045112125869484E-2</v>
      </c>
      <c r="H210" s="12">
        <f t="shared" si="40"/>
        <v>-1.1109008557497191E-6</v>
      </c>
      <c r="I210" s="12">
        <f>2</f>
        <v>2</v>
      </c>
      <c r="J210" s="12">
        <f t="shared" si="41"/>
        <v>0.54998418499411272</v>
      </c>
      <c r="K210" s="12">
        <f t="shared" si="33"/>
        <v>1.2500000220045368E-2</v>
      </c>
      <c r="L210" s="12">
        <f t="shared" si="42"/>
        <v>1.584416077192452E-6</v>
      </c>
      <c r="M210" s="7" t="str">
        <f t="shared" si="43"/>
        <v>no</v>
      </c>
    </row>
    <row r="211" spans="1:13" x14ac:dyDescent="0.35">
      <c r="A211" s="7">
        <v>196</v>
      </c>
      <c r="B211" s="12">
        <f t="shared" si="34"/>
        <v>-2.4631336387415104E-5</v>
      </c>
      <c r="C211" s="12">
        <f t="shared" si="35"/>
        <v>49</v>
      </c>
      <c r="D211" s="12">
        <f t="shared" si="36"/>
        <v>0.74998568748521544</v>
      </c>
      <c r="E211" s="12">
        <f t="shared" si="37"/>
        <v>1.0714597301841877E-5</v>
      </c>
      <c r="F211" s="12">
        <f t="shared" si="38"/>
        <v>7</v>
      </c>
      <c r="G211" s="12">
        <f t="shared" si="39"/>
        <v>5.0043581469112079E-2</v>
      </c>
      <c r="H211" s="12">
        <f t="shared" si="40"/>
        <v>-1.0732079296360553E-6</v>
      </c>
      <c r="I211" s="12">
        <f>2</f>
        <v>2</v>
      </c>
      <c r="J211" s="12">
        <f t="shared" si="41"/>
        <v>0.54998472159807754</v>
      </c>
      <c r="K211" s="12">
        <f t="shared" si="33"/>
        <v>1.2500000205366367E-2</v>
      </c>
      <c r="L211" s="12">
        <f t="shared" si="42"/>
        <v>1.5306567574049912E-6</v>
      </c>
      <c r="M211" s="7" t="str">
        <f t="shared" si="43"/>
        <v>no</v>
      </c>
    </row>
    <row r="212" spans="1:13" x14ac:dyDescent="0.35">
      <c r="A212" s="7">
        <v>197</v>
      </c>
      <c r="B212" s="12">
        <f t="shared" si="34"/>
        <v>-2.3795593889985867E-5</v>
      </c>
      <c r="C212" s="12">
        <f t="shared" si="35"/>
        <v>49</v>
      </c>
      <c r="D212" s="12">
        <f t="shared" si="36"/>
        <v>0.74998617310958049</v>
      </c>
      <c r="E212" s="12">
        <f t="shared" si="37"/>
        <v>1.0351050466539391E-5</v>
      </c>
      <c r="F212" s="12">
        <f t="shared" si="38"/>
        <v>7</v>
      </c>
      <c r="G212" s="12">
        <f t="shared" si="39"/>
        <v>5.0042102747616862E-2</v>
      </c>
      <c r="H212" s="12">
        <f t="shared" si="40"/>
        <v>-1.0367939307087681E-6</v>
      </c>
      <c r="I212" s="12">
        <f>2</f>
        <v>2</v>
      </c>
      <c r="J212" s="12">
        <f t="shared" si="41"/>
        <v>0.5499852399950429</v>
      </c>
      <c r="K212" s="12">
        <f t="shared" si="33"/>
        <v>1.25000001916666E-2</v>
      </c>
      <c r="L212" s="12">
        <f t="shared" si="42"/>
        <v>1.4787214952169392E-6</v>
      </c>
      <c r="M212" s="7" t="str">
        <f t="shared" si="43"/>
        <v>no</v>
      </c>
    </row>
    <row r="213" spans="1:13" x14ac:dyDescent="0.35">
      <c r="A213" s="7">
        <v>198</v>
      </c>
      <c r="B213" s="12">
        <f t="shared" si="34"/>
        <v>-2.2988208158380985E-5</v>
      </c>
      <c r="C213" s="12">
        <f t="shared" si="35"/>
        <v>49</v>
      </c>
      <c r="D213" s="12">
        <f t="shared" si="36"/>
        <v>0.74998664225668576</v>
      </c>
      <c r="E213" s="12">
        <f t="shared" si="37"/>
        <v>9.9998387916855336E-6</v>
      </c>
      <c r="F213" s="12">
        <f t="shared" si="38"/>
        <v>7</v>
      </c>
      <c r="G213" s="12">
        <f t="shared" si="39"/>
        <v>5.0040674199218052E-2</v>
      </c>
      <c r="H213" s="12">
        <f t="shared" si="40"/>
        <v>-1.0016154599057359E-6</v>
      </c>
      <c r="I213" s="12">
        <f>2</f>
        <v>2</v>
      </c>
      <c r="J213" s="12">
        <f t="shared" si="41"/>
        <v>0.54998574080277285</v>
      </c>
      <c r="K213" s="12">
        <f t="shared" si="33"/>
        <v>1.2500000178880782E-2</v>
      </c>
      <c r="L213" s="12">
        <f t="shared" si="42"/>
        <v>1.4285483988102365E-6</v>
      </c>
      <c r="M213" s="7" t="str">
        <f t="shared" si="43"/>
        <v>no</v>
      </c>
    </row>
    <row r="214" spans="1:13" x14ac:dyDescent="0.35">
      <c r="A214" s="7">
        <v>199</v>
      </c>
      <c r="B214" s="12">
        <f t="shared" si="34"/>
        <v>-2.2208217060892821E-5</v>
      </c>
      <c r="C214" s="12">
        <f t="shared" si="35"/>
        <v>49</v>
      </c>
      <c r="D214" s="12">
        <f t="shared" si="36"/>
        <v>0.74998709548560538</v>
      </c>
      <c r="E214" s="12">
        <f t="shared" si="37"/>
        <v>9.6605437409635897E-6</v>
      </c>
      <c r="F214" s="12">
        <f t="shared" si="38"/>
        <v>7</v>
      </c>
      <c r="G214" s="12">
        <f t="shared" si="39"/>
        <v>5.0039294121540769E-2</v>
      </c>
      <c r="H214" s="12">
        <f t="shared" si="40"/>
        <v>-9.676305943173702E-7</v>
      </c>
      <c r="I214" s="12">
        <f>2</f>
        <v>2</v>
      </c>
      <c r="J214" s="12">
        <f t="shared" si="41"/>
        <v>0.54998622461807001</v>
      </c>
      <c r="K214" s="12">
        <f t="shared" si="33"/>
        <v>1.2500000166947875E-2</v>
      </c>
      <c r="L214" s="12">
        <f t="shared" si="42"/>
        <v>1.3800776772834866E-6</v>
      </c>
      <c r="M214" s="7" t="str">
        <f t="shared" si="43"/>
        <v>no</v>
      </c>
    </row>
    <row r="215" spans="1:13" x14ac:dyDescent="0.35">
      <c r="A215" s="7">
        <v>200</v>
      </c>
      <c r="B215" s="12">
        <f t="shared" si="34"/>
        <v>-2.1454691115252444E-5</v>
      </c>
      <c r="C215" s="12">
        <f t="shared" si="35"/>
        <v>49</v>
      </c>
      <c r="D215" s="12">
        <f t="shared" si="36"/>
        <v>0.74998753333644452</v>
      </c>
      <c r="E215" s="12">
        <f t="shared" si="37"/>
        <v>9.3327609960169866E-6</v>
      </c>
      <c r="F215" s="12">
        <f t="shared" si="38"/>
        <v>7</v>
      </c>
      <c r="G215" s="12">
        <f t="shared" si="39"/>
        <v>5.0037960869969908E-2</v>
      </c>
      <c r="H215" s="12">
        <f t="shared" si="40"/>
        <v>-9.3479883833680333E-7</v>
      </c>
      <c r="I215" s="12">
        <f>2</f>
        <v>2</v>
      </c>
      <c r="J215" s="12">
        <f t="shared" si="41"/>
        <v>0.54998669201748918</v>
      </c>
      <c r="K215" s="12">
        <f t="shared" si="33"/>
        <v>1.2500000155810938E-2</v>
      </c>
      <c r="L215" s="12">
        <f t="shared" si="42"/>
        <v>1.3332515708605608E-6</v>
      </c>
      <c r="M215" s="7" t="str">
        <f t="shared" si="43"/>
        <v>no</v>
      </c>
    </row>
    <row r="216" spans="1:13" x14ac:dyDescent="0.35">
      <c r="A216" s="7">
        <v>201</v>
      </c>
      <c r="B216" s="12">
        <f t="shared" si="34"/>
        <v>-2.0726732337550402E-5</v>
      </c>
      <c r="C216" s="12">
        <f t="shared" si="35"/>
        <v>49</v>
      </c>
      <c r="D216" s="12">
        <f t="shared" si="36"/>
        <v>0.74998795633098203</v>
      </c>
      <c r="E216" s="12">
        <f t="shared" si="37"/>
        <v>9.0160999342003834E-6</v>
      </c>
      <c r="F216" s="12">
        <f t="shared" si="38"/>
        <v>7</v>
      </c>
      <c r="G216" s="12">
        <f t="shared" si="39"/>
        <v>5.0036672855693597E-2</v>
      </c>
      <c r="H216" s="12">
        <f t="shared" si="40"/>
        <v>-9.0308106681646905E-7</v>
      </c>
      <c r="I216" s="12">
        <f>2</f>
        <v>2</v>
      </c>
      <c r="J216" s="12">
        <f t="shared" si="41"/>
        <v>0.54998714355802258</v>
      </c>
      <c r="K216" s="12">
        <f t="shared" si="33"/>
        <v>1.2500000145416929E-2</v>
      </c>
      <c r="L216" s="12">
        <f t="shared" si="42"/>
        <v>1.2880142763113667E-6</v>
      </c>
      <c r="M216" s="7" t="str">
        <f t="shared" si="43"/>
        <v>no</v>
      </c>
    </row>
    <row r="217" spans="1:13" x14ac:dyDescent="0.35">
      <c r="A217" s="7">
        <v>202</v>
      </c>
      <c r="B217" s="12">
        <f t="shared" si="34"/>
        <v>-2.0023473233266031E-5</v>
      </c>
      <c r="C217" s="12">
        <f t="shared" si="35"/>
        <v>49</v>
      </c>
      <c r="D217" s="12">
        <f t="shared" si="36"/>
        <v>0.74998836497329291</v>
      </c>
      <c r="E217" s="12">
        <f t="shared" si="37"/>
        <v>8.710183195148602E-6</v>
      </c>
      <c r="F217" s="12">
        <f t="shared" si="38"/>
        <v>7</v>
      </c>
      <c r="G217" s="12">
        <f t="shared" si="39"/>
        <v>5.0035428543808574E-2</v>
      </c>
      <c r="H217" s="12">
        <f t="shared" si="40"/>
        <v>-8.724394779946465E-7</v>
      </c>
      <c r="I217" s="12">
        <f>2</f>
        <v>2</v>
      </c>
      <c r="J217" s="12">
        <f t="shared" si="41"/>
        <v>0.54998757977776158</v>
      </c>
      <c r="K217" s="12">
        <f t="shared" si="33"/>
        <v>1.2500000135716349E-2</v>
      </c>
      <c r="L217" s="12">
        <f t="shared" si="42"/>
        <v>1.2443118850222201E-6</v>
      </c>
      <c r="M217" s="7" t="str">
        <f t="shared" si="43"/>
        <v>no</v>
      </c>
    </row>
    <row r="218" spans="1:13" x14ac:dyDescent="0.35">
      <c r="A218" s="7">
        <v>203</v>
      </c>
      <c r="B218" s="12">
        <f t="shared" si="34"/>
        <v>-1.9344075759875068E-5</v>
      </c>
      <c r="C218" s="12">
        <f t="shared" si="35"/>
        <v>49</v>
      </c>
      <c r="D218" s="12">
        <f t="shared" si="36"/>
        <v>0.74998875975034929</v>
      </c>
      <c r="E218" s="12">
        <f t="shared" si="37"/>
        <v>8.414646231358347E-6</v>
      </c>
      <c r="F218" s="12">
        <f t="shared" si="38"/>
        <v>7</v>
      </c>
      <c r="G218" s="12">
        <f t="shared" si="39"/>
        <v>5.0034226451489812E-2</v>
      </c>
      <c r="H218" s="12">
        <f t="shared" si="40"/>
        <v>-8.4283756240921548E-7</v>
      </c>
      <c r="I218" s="12">
        <f>2</f>
        <v>2</v>
      </c>
      <c r="J218" s="12">
        <f t="shared" si="41"/>
        <v>0.54998800119654279</v>
      </c>
      <c r="K218" s="12">
        <f t="shared" si="33"/>
        <v>1.2500000126662905E-2</v>
      </c>
      <c r="L218" s="12">
        <f t="shared" si="42"/>
        <v>1.2020923187625043E-6</v>
      </c>
      <c r="M218" s="7" t="str">
        <f t="shared" si="43"/>
        <v>no</v>
      </c>
    </row>
    <row r="219" spans="1:13" x14ac:dyDescent="0.35">
      <c r="A219" s="7">
        <v>204</v>
      </c>
      <c r="B219" s="12">
        <f t="shared" si="34"/>
        <v>-1.8687730268140967E-5</v>
      </c>
      <c r="C219" s="12">
        <f t="shared" si="35"/>
        <v>49</v>
      </c>
      <c r="D219" s="12">
        <f t="shared" si="36"/>
        <v>0.74998914113259962</v>
      </c>
      <c r="E219" s="12">
        <f t="shared" si="37"/>
        <v>8.129136851664498E-6</v>
      </c>
      <c r="F219" s="12">
        <f t="shared" si="38"/>
        <v>7</v>
      </c>
      <c r="G219" s="12">
        <f t="shared" si="39"/>
        <v>5.003306514622529E-2</v>
      </c>
      <c r="H219" s="12">
        <f t="shared" si="40"/>
        <v>-8.1424004161334551E-7</v>
      </c>
      <c r="I219" s="12">
        <f>2</f>
        <v>2</v>
      </c>
      <c r="J219" s="12">
        <f t="shared" si="41"/>
        <v>0.54998840831656359</v>
      </c>
      <c r="K219" s="12">
        <f t="shared" si="33"/>
        <v>1.2500000118213336E-2</v>
      </c>
      <c r="L219" s="12">
        <f t="shared" si="42"/>
        <v>1.1613052645215172E-6</v>
      </c>
      <c r="M219" s="7" t="str">
        <f t="shared" si="43"/>
        <v>no</v>
      </c>
    </row>
    <row r="220" spans="1:13" x14ac:dyDescent="0.35">
      <c r="A220" s="7">
        <v>205</v>
      </c>
      <c r="B220" s="12">
        <f t="shared" si="34"/>
        <v>-1.8053654621041915E-5</v>
      </c>
      <c r="C220" s="12">
        <f t="shared" si="35"/>
        <v>49</v>
      </c>
      <c r="D220" s="12">
        <f t="shared" si="36"/>
        <v>0.7499895095745307</v>
      </c>
      <c r="E220" s="12">
        <f t="shared" si="37"/>
        <v>7.8533148197834635E-6</v>
      </c>
      <c r="F220" s="12">
        <f t="shared" si="38"/>
        <v>7</v>
      </c>
      <c r="G220" s="12">
        <f t="shared" si="39"/>
        <v>5.003194324410818E-2</v>
      </c>
      <c r="H220" s="12">
        <f t="shared" si="40"/>
        <v>-7.8661283264835902E-7</v>
      </c>
      <c r="I220" s="12">
        <f>2</f>
        <v>2</v>
      </c>
      <c r="J220" s="12">
        <f t="shared" si="41"/>
        <v>0.54998880162297992</v>
      </c>
      <c r="K220" s="12">
        <f t="shared" si="33"/>
        <v>1.2500000110327463E-2</v>
      </c>
      <c r="L220" s="12">
        <f t="shared" si="42"/>
        <v>1.1219021171099408E-6</v>
      </c>
      <c r="M220" s="7" t="str">
        <f t="shared" si="43"/>
        <v>no</v>
      </c>
    </row>
    <row r="221" spans="1:13" x14ac:dyDescent="0.35">
      <c r="A221" s="7">
        <v>206</v>
      </c>
      <c r="B221" s="12">
        <f t="shared" si="34"/>
        <v>-1.7441093184800138E-5</v>
      </c>
      <c r="C221" s="12">
        <f t="shared" si="35"/>
        <v>49</v>
      </c>
      <c r="D221" s="12">
        <f t="shared" si="36"/>
        <v>0.74998986551520797</v>
      </c>
      <c r="E221" s="12">
        <f t="shared" si="37"/>
        <v>7.5868514404220377E-6</v>
      </c>
      <c r="F221" s="12">
        <f t="shared" si="38"/>
        <v>7</v>
      </c>
      <c r="G221" s="12">
        <f t="shared" si="39"/>
        <v>5.0030859408188119E-2</v>
      </c>
      <c r="H221" s="12">
        <f t="shared" si="40"/>
        <v>-7.5992302051020033E-7</v>
      </c>
      <c r="I221" s="12">
        <f>2</f>
        <v>2</v>
      </c>
      <c r="J221" s="12">
        <f t="shared" si="41"/>
        <v>0.54998918158449017</v>
      </c>
      <c r="K221" s="12">
        <f t="shared" si="33"/>
        <v>1.2500000102967661E-2</v>
      </c>
      <c r="L221" s="12">
        <f t="shared" si="42"/>
        <v>1.0838359200612824E-6</v>
      </c>
      <c r="M221" s="7" t="str">
        <f t="shared" si="43"/>
        <v>no</v>
      </c>
    </row>
    <row r="222" spans="1:13" x14ac:dyDescent="0.35">
      <c r="A222" s="7">
        <v>207</v>
      </c>
      <c r="B222" s="12">
        <f t="shared" si="34"/>
        <v>-1.6849315990441482E-5</v>
      </c>
      <c r="C222" s="12">
        <f t="shared" si="35"/>
        <v>49</v>
      </c>
      <c r="D222" s="12">
        <f t="shared" si="36"/>
        <v>0.74999020937879957</v>
      </c>
      <c r="E222" s="12">
        <f t="shared" si="37"/>
        <v>7.329429179137037E-6</v>
      </c>
      <c r="F222" s="12">
        <f t="shared" si="38"/>
        <v>7</v>
      </c>
      <c r="G222" s="12">
        <f t="shared" si="39"/>
        <v>5.0029812346876812E-2</v>
      </c>
      <c r="H222" s="12">
        <f t="shared" si="40"/>
        <v>-7.3413879153605421E-7</v>
      </c>
      <c r="I222" s="12">
        <f>2</f>
        <v>2</v>
      </c>
      <c r="J222" s="12">
        <f t="shared" si="41"/>
        <v>0.54998954865388594</v>
      </c>
      <c r="K222" s="12">
        <f t="shared" si="33"/>
        <v>1.2500000096098796E-2</v>
      </c>
      <c r="L222" s="12">
        <f t="shared" si="42"/>
        <v>1.0470613113072735E-6</v>
      </c>
      <c r="M222" s="7" t="str">
        <f t="shared" si="43"/>
        <v>no</v>
      </c>
    </row>
    <row r="223" spans="1:13" x14ac:dyDescent="0.35">
      <c r="A223" s="7">
        <v>208</v>
      </c>
      <c r="B223" s="12">
        <f t="shared" si="34"/>
        <v>-1.6277617831406133E-5</v>
      </c>
      <c r="C223" s="12">
        <f t="shared" si="35"/>
        <v>49</v>
      </c>
      <c r="D223" s="12">
        <f t="shared" si="36"/>
        <v>0.74999054157508183</v>
      </c>
      <c r="E223" s="12">
        <f t="shared" si="37"/>
        <v>7.0807412697604377E-6</v>
      </c>
      <c r="F223" s="12">
        <f t="shared" si="38"/>
        <v>7</v>
      </c>
      <c r="G223" s="12">
        <f t="shared" si="39"/>
        <v>5.00288008124097E-2</v>
      </c>
      <c r="H223" s="12">
        <f t="shared" si="40"/>
        <v>-7.092294262989185E-7</v>
      </c>
      <c r="I223" s="12">
        <f>2</f>
        <v>2</v>
      </c>
      <c r="J223" s="12">
        <f t="shared" si="41"/>
        <v>0.54998990326859909</v>
      </c>
      <c r="K223" s="12">
        <f t="shared" si="33"/>
        <v>1.2500000089688155E-2</v>
      </c>
      <c r="L223" s="12">
        <f t="shared" si="42"/>
        <v>1.0115344671116078E-6</v>
      </c>
      <c r="M223" s="7" t="str">
        <f t="shared" si="43"/>
        <v>no</v>
      </c>
    </row>
    <row r="224" spans="1:13" x14ac:dyDescent="0.35">
      <c r="A224" s="7">
        <v>209</v>
      </c>
      <c r="B224" s="12">
        <f t="shared" si="34"/>
        <v>-1.572531741800276E-5</v>
      </c>
      <c r="C224" s="12">
        <f t="shared" si="35"/>
        <v>49</v>
      </c>
      <c r="D224" s="12">
        <f t="shared" si="36"/>
        <v>0.74999086249992708</v>
      </c>
      <c r="E224" s="12">
        <f t="shared" si="37"/>
        <v>6.8404913520225819E-6</v>
      </c>
      <c r="F224" s="12">
        <f t="shared" si="38"/>
        <v>7</v>
      </c>
      <c r="G224" s="12">
        <f t="shared" si="39"/>
        <v>5.0027823599359408E-2</v>
      </c>
      <c r="H224" s="12">
        <f t="shared" si="40"/>
        <v>-6.8516523388240103E-7</v>
      </c>
      <c r="I224" s="12">
        <f>2</f>
        <v>2</v>
      </c>
      <c r="J224" s="12">
        <f t="shared" si="41"/>
        <v>0.54999024585121603</v>
      </c>
      <c r="K224" s="12">
        <f t="shared" si="33"/>
        <v>1.250000008370517E-2</v>
      </c>
      <c r="L224" s="12">
        <f t="shared" si="42"/>
        <v>9.7721305029191408E-7</v>
      </c>
      <c r="M224" s="7" t="str">
        <f t="shared" si="43"/>
        <v>no</v>
      </c>
    </row>
    <row r="225" spans="1:13" x14ac:dyDescent="0.35">
      <c r="A225" s="7">
        <v>210</v>
      </c>
      <c r="B225" s="12">
        <f t="shared" si="34"/>
        <v>-1.5191756588706085E-5</v>
      </c>
      <c r="C225" s="12">
        <f t="shared" si="35"/>
        <v>49</v>
      </c>
      <c r="D225" s="12">
        <f t="shared" si="36"/>
        <v>0.74999117253577585</v>
      </c>
      <c r="E225" s="12">
        <f t="shared" si="37"/>
        <v>6.6083931287153064E-6</v>
      </c>
      <c r="F225" s="12">
        <f t="shared" si="38"/>
        <v>7</v>
      </c>
      <c r="G225" s="12">
        <f t="shared" si="39"/>
        <v>5.0026879543198163E-2</v>
      </c>
      <c r="H225" s="12">
        <f t="shared" si="40"/>
        <v>-6.6191754211075704E-7</v>
      </c>
      <c r="I225" s="12">
        <f>2</f>
        <v>2</v>
      </c>
      <c r="J225" s="12">
        <f t="shared" si="41"/>
        <v>0.54999057680998709</v>
      </c>
      <c r="K225" s="12">
        <f t="shared" si="33"/>
        <v>1.2500000078121297E-2</v>
      </c>
      <c r="L225" s="12">
        <f t="shared" si="42"/>
        <v>9.4405616124504377E-7</v>
      </c>
      <c r="M225" s="7" t="str">
        <f t="shared" si="43"/>
        <v>no</v>
      </c>
    </row>
    <row r="226" spans="1:13" x14ac:dyDescent="0.35">
      <c r="A226" s="7">
        <v>211</v>
      </c>
      <c r="B226" s="12">
        <f t="shared" si="34"/>
        <v>-1.4676299507243584E-5</v>
      </c>
      <c r="C226" s="12">
        <f t="shared" si="35"/>
        <v>49</v>
      </c>
      <c r="D226" s="12">
        <f t="shared" si="36"/>
        <v>0.74999147205209238</v>
      </c>
      <c r="E226" s="12">
        <f t="shared" si="37"/>
        <v>6.3841700104205756E-6</v>
      </c>
      <c r="F226" s="12">
        <f t="shared" si="38"/>
        <v>7</v>
      </c>
      <c r="G226" s="12">
        <f t="shared" si="39"/>
        <v>5.002596751891096E-2</v>
      </c>
      <c r="H226" s="12">
        <f t="shared" si="40"/>
        <v>-6.3945864603454083E-7</v>
      </c>
      <c r="I226" s="12">
        <f>2</f>
        <v>2</v>
      </c>
      <c r="J226" s="12">
        <f t="shared" si="41"/>
        <v>0.5499908965393101</v>
      </c>
      <c r="K226" s="12">
        <f t="shared" si="33"/>
        <v>1.2500000072909898E-2</v>
      </c>
      <c r="L226" s="12">
        <f t="shared" si="42"/>
        <v>9.1202428720293938E-7</v>
      </c>
      <c r="M226" s="7" t="str">
        <f t="shared" si="43"/>
        <v>no</v>
      </c>
    </row>
    <row r="227" spans="1:13" x14ac:dyDescent="0.35">
      <c r="A227" s="7">
        <v>212</v>
      </c>
      <c r="B227" s="12">
        <f t="shared" si="34"/>
        <v>-1.4178331909420194E-5</v>
      </c>
      <c r="C227" s="12">
        <f t="shared" si="35"/>
        <v>49</v>
      </c>
      <c r="D227" s="12">
        <f t="shared" si="36"/>
        <v>0.74999176140580481</v>
      </c>
      <c r="E227" s="12">
        <f t="shared" si="37"/>
        <v>6.1675547939898934E-6</v>
      </c>
      <c r="F227" s="12">
        <f t="shared" si="38"/>
        <v>7</v>
      </c>
      <c r="G227" s="12">
        <f t="shared" si="39"/>
        <v>5.0025086439654677E-2</v>
      </c>
      <c r="H227" s="12">
        <f t="shared" si="40"/>
        <v>-6.1776178217343158E-7</v>
      </c>
      <c r="I227" s="12">
        <f>2</f>
        <v>2</v>
      </c>
      <c r="J227" s="12">
        <f t="shared" si="41"/>
        <v>0.54999120542020119</v>
      </c>
      <c r="K227" s="12">
        <f t="shared" si="33"/>
        <v>1.2500000068046189E-2</v>
      </c>
      <c r="L227" s="12">
        <f t="shared" si="42"/>
        <v>8.8107925628327921E-7</v>
      </c>
      <c r="M227" s="7" t="str">
        <f t="shared" si="43"/>
        <v>no</v>
      </c>
    </row>
    <row r="228" spans="1:13" x14ac:dyDescent="0.35">
      <c r="A228" s="7">
        <v>213</v>
      </c>
      <c r="B228" s="12">
        <f t="shared" si="34"/>
        <v>-1.369726037125929E-5</v>
      </c>
      <c r="C228" s="12">
        <f t="shared" si="35"/>
        <v>49</v>
      </c>
      <c r="D228" s="12">
        <f t="shared" si="36"/>
        <v>0.74999204094173078</v>
      </c>
      <c r="E228" s="12">
        <f t="shared" si="37"/>
        <v>5.9582893392473579E-6</v>
      </c>
      <c r="F228" s="12">
        <f t="shared" si="38"/>
        <v>7</v>
      </c>
      <c r="G228" s="12">
        <f t="shared" si="39"/>
        <v>5.0024235255463359E-2</v>
      </c>
      <c r="H228" s="12">
        <f t="shared" si="40"/>
        <v>-5.9680109210091814E-7</v>
      </c>
      <c r="I228" s="12">
        <f>2</f>
        <v>2</v>
      </c>
      <c r="J228" s="12">
        <f t="shared" si="41"/>
        <v>0.54999150382074724</v>
      </c>
      <c r="K228" s="12">
        <f t="shared" si="33"/>
        <v>1.2500000063506884E-2</v>
      </c>
      <c r="L228" s="12">
        <f t="shared" si="42"/>
        <v>8.5118419131807732E-7</v>
      </c>
      <c r="M228" s="7" t="str">
        <f t="shared" si="43"/>
        <v>no</v>
      </c>
    </row>
    <row r="229" spans="1:13" x14ac:dyDescent="0.35">
      <c r="A229" s="7">
        <v>214</v>
      </c>
      <c r="B229" s="12">
        <f t="shared" si="34"/>
        <v>-1.323251162688166E-5</v>
      </c>
      <c r="C229" s="12">
        <f t="shared" si="35"/>
        <v>49</v>
      </c>
      <c r="D229" s="12">
        <f t="shared" si="36"/>
        <v>0.74999231099298846</v>
      </c>
      <c r="E229" s="12">
        <f t="shared" si="37"/>
        <v>5.7561242776671406E-6</v>
      </c>
      <c r="F229" s="12">
        <f t="shared" si="38"/>
        <v>7</v>
      </c>
      <c r="G229" s="12">
        <f t="shared" si="39"/>
        <v>5.0023412951995118E-2</v>
      </c>
      <c r="H229" s="12">
        <f t="shared" si="40"/>
        <v>-5.7655160112801696E-7</v>
      </c>
      <c r="I229" s="12">
        <f>2</f>
        <v>2</v>
      </c>
      <c r="J229" s="12">
        <f t="shared" si="41"/>
        <v>0.5499917920965478</v>
      </c>
      <c r="K229" s="12">
        <f t="shared" si="33"/>
        <v>1.2500000059270426E-2</v>
      </c>
      <c r="L229" s="12">
        <f t="shared" si="42"/>
        <v>8.2230346824113676E-7</v>
      </c>
      <c r="M229" s="7" t="str">
        <f t="shared" si="43"/>
        <v>no</v>
      </c>
    </row>
    <row r="230" spans="1:13" x14ac:dyDescent="0.35">
      <c r="A230" s="7">
        <v>215</v>
      </c>
      <c r="B230" s="12">
        <f t="shared" si="34"/>
        <v>-1.2783531822435634E-5</v>
      </c>
      <c r="C230" s="12">
        <f t="shared" si="35"/>
        <v>49</v>
      </c>
      <c r="D230" s="12">
        <f t="shared" si="36"/>
        <v>0.74999257188139301</v>
      </c>
      <c r="E230" s="12">
        <f t="shared" si="37"/>
        <v>5.5608186819711136E-6</v>
      </c>
      <c r="F230" s="12">
        <f t="shared" si="38"/>
        <v>7</v>
      </c>
      <c r="G230" s="12">
        <f t="shared" si="39"/>
        <v>5.0022618549326263E-2</v>
      </c>
      <c r="H230" s="12">
        <f t="shared" si="40"/>
        <v>-5.569891738943511E-7</v>
      </c>
      <c r="I230" s="12">
        <f>2</f>
        <v>2</v>
      </c>
      <c r="J230" s="12">
        <f t="shared" si="41"/>
        <v>0.54999207059113475</v>
      </c>
      <c r="K230" s="12">
        <f t="shared" si="33"/>
        <v>1.250000005531653E-2</v>
      </c>
      <c r="L230" s="12">
        <f t="shared" si="42"/>
        <v>7.9440266885499877E-7</v>
      </c>
      <c r="M230" s="7" t="str">
        <f t="shared" si="43"/>
        <v>no</v>
      </c>
    </row>
    <row r="231" spans="1:13" x14ac:dyDescent="0.35">
      <c r="A231" s="7">
        <v>216</v>
      </c>
      <c r="B231" s="12">
        <f t="shared" si="34"/>
        <v>-1.2349785926346613E-5</v>
      </c>
      <c r="C231" s="12">
        <f t="shared" si="35"/>
        <v>49</v>
      </c>
      <c r="D231" s="12">
        <f t="shared" si="36"/>
        <v>0.7499928239178405</v>
      </c>
      <c r="E231" s="12">
        <f t="shared" si="37"/>
        <v>5.3721398174388924E-6</v>
      </c>
      <c r="F231" s="12">
        <f t="shared" si="38"/>
        <v>7</v>
      </c>
      <c r="G231" s="12">
        <f t="shared" si="39"/>
        <v>5.0021851100780917E-2</v>
      </c>
      <c r="H231" s="12">
        <f t="shared" si="40"/>
        <v>-5.3809050371000922E-7</v>
      </c>
      <c r="I231" s="12">
        <f>2</f>
        <v>2</v>
      </c>
      <c r="J231" s="12">
        <f t="shared" si="41"/>
        <v>0.54999233963638661</v>
      </c>
      <c r="K231" s="12">
        <f t="shared" si="33"/>
        <v>1.2500000051626416E-2</v>
      </c>
      <c r="L231" s="12">
        <f t="shared" si="42"/>
        <v>7.6744854534543938E-7</v>
      </c>
      <c r="M231" s="7" t="str">
        <f t="shared" si="43"/>
        <v>no</v>
      </c>
    </row>
    <row r="232" spans="1:13" x14ac:dyDescent="0.35">
      <c r="A232" s="7">
        <v>217</v>
      </c>
      <c r="B232" s="12">
        <f t="shared" si="34"/>
        <v>-1.1930757054301466E-5</v>
      </c>
      <c r="C232" s="12">
        <f t="shared" si="35"/>
        <v>49</v>
      </c>
      <c r="D232" s="12">
        <f t="shared" si="36"/>
        <v>0.74999306740267835</v>
      </c>
      <c r="E232" s="12">
        <f t="shared" si="37"/>
        <v>5.1898628363744592E-6</v>
      </c>
      <c r="F232" s="12">
        <f t="shared" si="38"/>
        <v>7</v>
      </c>
      <c r="G232" s="12">
        <f t="shared" si="39"/>
        <v>5.0021109691804296E-2</v>
      </c>
      <c r="H232" s="12">
        <f t="shared" si="40"/>
        <v>-5.198330654820893E-7</v>
      </c>
      <c r="I232" s="12">
        <f>2</f>
        <v>2</v>
      </c>
      <c r="J232" s="12">
        <f t="shared" si="41"/>
        <v>0.54999259955291935</v>
      </c>
      <c r="K232" s="12">
        <f t="shared" si="33"/>
        <v>1.250000004818253E-2</v>
      </c>
      <c r="L232" s="12">
        <f t="shared" si="42"/>
        <v>7.4140897662194893E-7</v>
      </c>
      <c r="M232" s="7" t="str">
        <f t="shared" si="43"/>
        <v>no</v>
      </c>
    </row>
    <row r="233" spans="1:13" x14ac:dyDescent="0.35">
      <c r="A233" s="7">
        <v>218</v>
      </c>
      <c r="B233" s="12">
        <f t="shared" si="34"/>
        <v>-1.1525945851076358E-5</v>
      </c>
      <c r="C233" s="12">
        <f t="shared" si="35"/>
        <v>49</v>
      </c>
      <c r="D233" s="12">
        <f t="shared" si="36"/>
        <v>0.74999330262606312</v>
      </c>
      <c r="E233" s="12">
        <f t="shared" si="37"/>
        <v>5.0137705240871355E-6</v>
      </c>
      <c r="F233" s="12">
        <f t="shared" si="38"/>
        <v>7</v>
      </c>
      <c r="G233" s="12">
        <f t="shared" si="39"/>
        <v>5.0020393438872282E-2</v>
      </c>
      <c r="H233" s="12">
        <f t="shared" si="40"/>
        <v>-5.0219510239202236E-7</v>
      </c>
      <c r="I233" s="12">
        <f>2</f>
        <v>2</v>
      </c>
      <c r="J233" s="12">
        <f t="shared" si="41"/>
        <v>0.54999285065047054</v>
      </c>
      <c r="K233" s="12">
        <f t="shared" si="33"/>
        <v>1.2500000044968328E-2</v>
      </c>
      <c r="L233" s="12">
        <f t="shared" si="42"/>
        <v>7.162529320134392E-7</v>
      </c>
      <c r="M233" s="7" t="str">
        <f t="shared" si="43"/>
        <v>no</v>
      </c>
    </row>
    <row r="234" spans="1:13" x14ac:dyDescent="0.35">
      <c r="A234" s="7">
        <v>219</v>
      </c>
      <c r="B234" s="12">
        <f t="shared" si="34"/>
        <v>-1.1134869907891698E-5</v>
      </c>
      <c r="C234" s="12">
        <f t="shared" si="35"/>
        <v>49</v>
      </c>
      <c r="D234" s="12">
        <f t="shared" si="36"/>
        <v>0.74999352986830614</v>
      </c>
      <c r="E234" s="12">
        <f t="shared" si="37"/>
        <v>4.8436530288853419E-6</v>
      </c>
      <c r="F234" s="12">
        <f t="shared" si="38"/>
        <v>7</v>
      </c>
      <c r="G234" s="12">
        <f t="shared" si="39"/>
        <v>5.0019701488439587E-2</v>
      </c>
      <c r="H234" s="12">
        <f t="shared" si="40"/>
        <v>-4.8515559747386305E-7</v>
      </c>
      <c r="I234" s="12">
        <f>2</f>
        <v>2</v>
      </c>
      <c r="J234" s="12">
        <f t="shared" si="41"/>
        <v>0.54999309322826928</v>
      </c>
      <c r="K234" s="12">
        <f t="shared" si="33"/>
        <v>1.2500000041968525E-2</v>
      </c>
      <c r="L234" s="12">
        <f t="shared" si="42"/>
        <v>6.9195043269493217E-7</v>
      </c>
      <c r="M234" s="7" t="str">
        <f t="shared" si="43"/>
        <v>no</v>
      </c>
    </row>
    <row r="235" spans="1:13" x14ac:dyDescent="0.35">
      <c r="A235" s="7">
        <v>220</v>
      </c>
      <c r="B235" s="12">
        <f t="shared" si="34"/>
        <v>-1.0757063201083383E-5</v>
      </c>
      <c r="C235" s="12">
        <f t="shared" si="35"/>
        <v>49</v>
      </c>
      <c r="D235" s="12">
        <f t="shared" si="36"/>
        <v>0.74999374940020824</v>
      </c>
      <c r="E235" s="12">
        <f t="shared" si="37"/>
        <v>4.6793076329265659E-6</v>
      </c>
      <c r="F235" s="12">
        <f t="shared" si="38"/>
        <v>7</v>
      </c>
      <c r="G235" s="12">
        <f t="shared" si="39"/>
        <v>5.0019033015920596E-2</v>
      </c>
      <c r="H235" s="12">
        <f t="shared" si="40"/>
        <v>-4.6869424252804492E-7</v>
      </c>
      <c r="I235" s="12">
        <f>2</f>
        <v>2</v>
      </c>
      <c r="J235" s="12">
        <f t="shared" si="41"/>
        <v>0.54999332757539054</v>
      </c>
      <c r="K235" s="12">
        <f t="shared" si="33"/>
        <v>1.2500000039168863E-2</v>
      </c>
      <c r="L235" s="12">
        <f t="shared" si="42"/>
        <v>6.6847251899149196E-7</v>
      </c>
      <c r="M235" s="7" t="str">
        <f t="shared" si="43"/>
        <v>no</v>
      </c>
    </row>
    <row r="236" spans="1:13" x14ac:dyDescent="0.35">
      <c r="A236" s="7">
        <v>221</v>
      </c>
      <c r="B236" s="12">
        <f t="shared" si="34"/>
        <v>-1.03920754952469E-5</v>
      </c>
      <c r="C236" s="12">
        <f t="shared" si="35"/>
        <v>49</v>
      </c>
      <c r="D236" s="12">
        <f t="shared" si="36"/>
        <v>0.7499939614833816</v>
      </c>
      <c r="E236" s="12">
        <f t="shared" si="37"/>
        <v>4.5205384857638364E-6</v>
      </c>
      <c r="F236" s="12">
        <f t="shared" si="38"/>
        <v>7</v>
      </c>
      <c r="G236" s="12">
        <f t="shared" si="39"/>
        <v>5.0018387224708347E-2</v>
      </c>
      <c r="H236" s="12">
        <f t="shared" si="40"/>
        <v>-4.5279142302234732E-7</v>
      </c>
      <c r="I236" s="12">
        <f>2</f>
        <v>2</v>
      </c>
      <c r="J236" s="12">
        <f t="shared" si="41"/>
        <v>0.54999355397110206</v>
      </c>
      <c r="K236" s="12">
        <f t="shared" si="33"/>
        <v>1.2500000036555969E-2</v>
      </c>
      <c r="L236" s="12">
        <f t="shared" si="42"/>
        <v>6.4579121224900282E-7</v>
      </c>
      <c r="M236" s="7" t="str">
        <f t="shared" si="43"/>
        <v>no</v>
      </c>
    </row>
    <row r="237" spans="1:13" x14ac:dyDescent="0.35">
      <c r="A237" s="7">
        <v>222</v>
      </c>
      <c r="B237" s="12">
        <f t="shared" si="34"/>
        <v>-1.0039471838751979E-5</v>
      </c>
      <c r="C237" s="12">
        <f t="shared" si="35"/>
        <v>49</v>
      </c>
      <c r="D237" s="12">
        <f t="shared" si="36"/>
        <v>0.74999416637056193</v>
      </c>
      <c r="E237" s="12">
        <f t="shared" si="37"/>
        <v>4.3671563787484047E-6</v>
      </c>
      <c r="F237" s="12">
        <f t="shared" si="38"/>
        <v>7</v>
      </c>
      <c r="G237" s="12">
        <f t="shared" si="39"/>
        <v>5.0017763345225667E-2</v>
      </c>
      <c r="H237" s="12">
        <f t="shared" si="40"/>
        <v>-4.3742818522929383E-7</v>
      </c>
      <c r="I237" s="12">
        <f>2</f>
        <v>2</v>
      </c>
      <c r="J237" s="12">
        <f t="shared" si="41"/>
        <v>0.54999377268519467</v>
      </c>
      <c r="K237" s="12">
        <f t="shared" si="33"/>
        <v>1.2500000034117347E-2</v>
      </c>
      <c r="L237" s="12">
        <f t="shared" si="42"/>
        <v>6.238794826793348E-7</v>
      </c>
      <c r="M237" s="7" t="str">
        <f t="shared" si="43"/>
        <v>no</v>
      </c>
    </row>
    <row r="238" spans="1:13" x14ac:dyDescent="0.35">
      <c r="A238" s="7">
        <v>223</v>
      </c>
      <c r="B238" s="12">
        <f t="shared" si="34"/>
        <v>-9.6988320450464016E-6</v>
      </c>
      <c r="C238" s="12">
        <f t="shared" si="35"/>
        <v>49</v>
      </c>
      <c r="D238" s="12">
        <f t="shared" si="36"/>
        <v>0.74999436430590982</v>
      </c>
      <c r="E238" s="12">
        <f t="shared" si="37"/>
        <v>4.2189785407487079E-6</v>
      </c>
      <c r="F238" s="12">
        <f t="shared" si="38"/>
        <v>7</v>
      </c>
      <c r="G238" s="12">
        <f t="shared" si="39"/>
        <v>5.0017160634005561E-2</v>
      </c>
      <c r="H238" s="12">
        <f t="shared" si="40"/>
        <v>-4.2258622556801129E-7</v>
      </c>
      <c r="I238" s="12">
        <f>2</f>
        <v>2</v>
      </c>
      <c r="J238" s="12">
        <f t="shared" si="41"/>
        <v>0.54999398397830745</v>
      </c>
      <c r="K238" s="12">
        <f t="shared" si="33"/>
        <v>1.2500000031841426E-2</v>
      </c>
      <c r="L238" s="12">
        <f t="shared" si="42"/>
        <v>6.02711220105967E-7</v>
      </c>
      <c r="M238" s="7" t="str">
        <f t="shared" si="43"/>
        <v>no</v>
      </c>
    </row>
    <row r="239" spans="1:13" x14ac:dyDescent="0.35">
      <c r="A239" s="7">
        <v>224</v>
      </c>
      <c r="B239" s="12">
        <f t="shared" si="34"/>
        <v>-9.3697501597489463E-6</v>
      </c>
      <c r="C239" s="12">
        <f t="shared" si="35"/>
        <v>49</v>
      </c>
      <c r="D239" s="12">
        <f t="shared" si="36"/>
        <v>0.74999455552530081</v>
      </c>
      <c r="E239" s="12">
        <f t="shared" si="37"/>
        <v>4.0758283752495572E-6</v>
      </c>
      <c r="F239" s="12">
        <f t="shared" si="38"/>
        <v>7</v>
      </c>
      <c r="G239" s="12">
        <f t="shared" si="39"/>
        <v>5.0016578372809095E-2</v>
      </c>
      <c r="H239" s="12">
        <f t="shared" si="40"/>
        <v>-4.0824785152437926E-7</v>
      </c>
      <c r="I239" s="12">
        <f>2</f>
        <v>2</v>
      </c>
      <c r="J239" s="12">
        <f t="shared" si="41"/>
        <v>0.54999418810223322</v>
      </c>
      <c r="K239" s="12">
        <f t="shared" si="33"/>
        <v>1.2500000029717294E-2</v>
      </c>
      <c r="L239" s="12">
        <f t="shared" si="42"/>
        <v>5.82261196466205E-7</v>
      </c>
      <c r="M239" s="7" t="str">
        <f t="shared" si="43"/>
        <v>no</v>
      </c>
    </row>
    <row r="240" spans="1:13" x14ac:dyDescent="0.35">
      <c r="A240" s="7">
        <v>225</v>
      </c>
      <c r="B240" s="12">
        <f t="shared" si="34"/>
        <v>-9.0518340627454563E-6</v>
      </c>
      <c r="C240" s="12">
        <f t="shared" si="35"/>
        <v>49</v>
      </c>
      <c r="D240" s="12">
        <f t="shared" si="36"/>
        <v>0.74999474025660817</v>
      </c>
      <c r="E240" s="12">
        <f t="shared" si="37"/>
        <v>3.9375353111381628E-6</v>
      </c>
      <c r="F240" s="12">
        <f t="shared" si="38"/>
        <v>7</v>
      </c>
      <c r="G240" s="12">
        <f t="shared" si="39"/>
        <v>5.0016015867764649E-2</v>
      </c>
      <c r="H240" s="12">
        <f t="shared" si="40"/>
        <v>-3.9439598253920849E-7</v>
      </c>
      <c r="I240" s="12">
        <f>2</f>
        <v>2</v>
      </c>
      <c r="J240" s="12">
        <f t="shared" si="41"/>
        <v>0.54999438530022449</v>
      </c>
      <c r="K240" s="12">
        <f t="shared" si="33"/>
        <v>1.2500000027734919E-2</v>
      </c>
      <c r="L240" s="12">
        <f t="shared" si="42"/>
        <v>5.6250504444632643E-7</v>
      </c>
      <c r="M240" s="7" t="str">
        <f t="shared" si="43"/>
        <v>no</v>
      </c>
    </row>
    <row r="241" spans="1:13" x14ac:dyDescent="0.35">
      <c r="A241" s="7">
        <v>226</v>
      </c>
      <c r="B241" s="12">
        <f t="shared" si="34"/>
        <v>-8.7447048642275149E-6</v>
      </c>
      <c r="C241" s="12">
        <f t="shared" si="35"/>
        <v>49</v>
      </c>
      <c r="D241" s="12">
        <f t="shared" si="36"/>
        <v>0.7499949187199727</v>
      </c>
      <c r="E241" s="12">
        <f t="shared" si="37"/>
        <v>3.8039345362506083E-6</v>
      </c>
      <c r="F241" s="12">
        <f t="shared" si="38"/>
        <v>7</v>
      </c>
      <c r="G241" s="12">
        <f t="shared" si="39"/>
        <v>5.0015472448545185E-2</v>
      </c>
      <c r="H241" s="12">
        <f t="shared" si="40"/>
        <v>-3.8101410648749834E-7</v>
      </c>
      <c r="I241" s="12">
        <f>2</f>
        <v>2</v>
      </c>
      <c r="J241" s="12">
        <f t="shared" si="41"/>
        <v>0.54999457580727773</v>
      </c>
      <c r="K241" s="12">
        <f t="shared" si="33"/>
        <v>1.2500000025884689E-2</v>
      </c>
      <c r="L241" s="12">
        <f t="shared" si="42"/>
        <v>5.4341921946338134E-7</v>
      </c>
      <c r="M241" s="7" t="str">
        <f t="shared" si="43"/>
        <v>no</v>
      </c>
    </row>
    <row r="242" spans="1:13" x14ac:dyDescent="0.35">
      <c r="A242" s="7">
        <v>227</v>
      </c>
      <c r="B242" s="12">
        <f t="shared" si="34"/>
        <v>-8.4479965849482141E-6</v>
      </c>
      <c r="C242" s="12">
        <f t="shared" si="35"/>
        <v>49</v>
      </c>
      <c r="D242" s="12">
        <f t="shared" si="36"/>
        <v>0.74999509112806628</v>
      </c>
      <c r="E242" s="12">
        <f t="shared" si="37"/>
        <v>3.6748668428288056E-6</v>
      </c>
      <c r="F242" s="12">
        <f t="shared" si="38"/>
        <v>7</v>
      </c>
      <c r="G242" s="12">
        <f t="shared" si="39"/>
        <v>5.0014947467567641E-2</v>
      </c>
      <c r="H242" s="12">
        <f t="shared" si="40"/>
        <v>-3.6808627790207993E-7</v>
      </c>
      <c r="I242" s="12">
        <f>2</f>
        <v>2</v>
      </c>
      <c r="J242" s="12">
        <f t="shared" si="41"/>
        <v>0.54999475985041668</v>
      </c>
      <c r="K242" s="12">
        <f t="shared" si="33"/>
        <v>1.2500000024158032E-2</v>
      </c>
      <c r="L242" s="12">
        <f t="shared" si="42"/>
        <v>5.2498097754399842E-7</v>
      </c>
      <c r="M242" s="7" t="str">
        <f t="shared" si="43"/>
        <v>no</v>
      </c>
    </row>
    <row r="243" spans="1:13" x14ac:dyDescent="0.35">
      <c r="A243" s="7">
        <v>228</v>
      </c>
      <c r="B243" s="12">
        <f t="shared" si="34"/>
        <v>-8.1613556162096756E-6</v>
      </c>
      <c r="C243" s="12">
        <f t="shared" si="35"/>
        <v>49</v>
      </c>
      <c r="D243" s="12">
        <f t="shared" si="36"/>
        <v>0.74999525768634412</v>
      </c>
      <c r="E243" s="12">
        <f t="shared" si="37"/>
        <v>3.5501784179103879E-6</v>
      </c>
      <c r="F243" s="12">
        <f t="shared" si="38"/>
        <v>7</v>
      </c>
      <c r="G243" s="12">
        <f t="shared" si="39"/>
        <v>5.0014440299222224E-2</v>
      </c>
      <c r="H243" s="12">
        <f t="shared" si="40"/>
        <v>-3.5559709132826356E-7</v>
      </c>
      <c r="I243" s="12">
        <f>2</f>
        <v>2</v>
      </c>
      <c r="J243" s="12">
        <f t="shared" si="41"/>
        <v>0.54999493764896235</v>
      </c>
      <c r="K243" s="12">
        <f t="shared" si="33"/>
        <v>1.2500000022546431E-2</v>
      </c>
      <c r="L243" s="12">
        <f t="shared" si="42"/>
        <v>5.0716834541775224E-7</v>
      </c>
      <c r="M243" s="7" t="str">
        <f t="shared" si="43"/>
        <v>no</v>
      </c>
    </row>
    <row r="244" spans="1:13" x14ac:dyDescent="0.35">
      <c r="A244" s="7">
        <v>229</v>
      </c>
      <c r="B244" s="12">
        <f t="shared" si="34"/>
        <v>-7.8844404001188195E-6</v>
      </c>
      <c r="C244" s="12">
        <f t="shared" si="35"/>
        <v>49</v>
      </c>
      <c r="D244" s="12">
        <f t="shared" si="36"/>
        <v>0.74999541859329111</v>
      </c>
      <c r="E244" s="12">
        <f t="shared" si="37"/>
        <v>3.4297206816802372E-6</v>
      </c>
      <c r="F244" s="12">
        <f t="shared" si="38"/>
        <v>7</v>
      </c>
      <c r="G244" s="12">
        <f t="shared" si="39"/>
        <v>5.0013950339124841E-2</v>
      </c>
      <c r="H244" s="12">
        <f t="shared" si="40"/>
        <v>-3.435316626720919E-7</v>
      </c>
      <c r="I244" s="12">
        <f>2</f>
        <v>2</v>
      </c>
      <c r="J244" s="12">
        <f t="shared" si="41"/>
        <v>0.54999510941479368</v>
      </c>
      <c r="K244" s="12">
        <f t="shared" si="33"/>
        <v>1.2500000021042394E-2</v>
      </c>
      <c r="L244" s="12">
        <f t="shared" si="42"/>
        <v>4.8996009738289104E-7</v>
      </c>
      <c r="M244" s="7" t="str">
        <f t="shared" si="43"/>
        <v>no</v>
      </c>
    </row>
    <row r="245" spans="1:13" x14ac:dyDescent="0.35">
      <c r="A245" s="7">
        <v>230</v>
      </c>
      <c r="B245" s="12">
        <f t="shared" si="34"/>
        <v>-7.6169209322074494E-6</v>
      </c>
      <c r="C245" s="12">
        <f t="shared" si="35"/>
        <v>49</v>
      </c>
      <c r="D245" s="12">
        <f t="shared" si="36"/>
        <v>0.74999557404065709</v>
      </c>
      <c r="E245" s="12">
        <f t="shared" si="37"/>
        <v>3.3133500814130912E-6</v>
      </c>
      <c r="F245" s="12">
        <f t="shared" si="38"/>
        <v>7</v>
      </c>
      <c r="G245" s="12">
        <f t="shared" si="39"/>
        <v>5.0013477003398928E-2</v>
      </c>
      <c r="H245" s="12">
        <f t="shared" si="40"/>
        <v>-3.3187561587766368E-7</v>
      </c>
      <c r="I245" s="12">
        <f>2</f>
        <v>2</v>
      </c>
      <c r="J245" s="12">
        <f t="shared" si="41"/>
        <v>0.54999527535260162</v>
      </c>
      <c r="K245" s="12">
        <f t="shared" si="33"/>
        <v>1.2500000019638673E-2</v>
      </c>
      <c r="L245" s="12">
        <f t="shared" si="42"/>
        <v>4.7333572591318207E-7</v>
      </c>
      <c r="M245" s="7" t="str">
        <f t="shared" si="43"/>
        <v>no</v>
      </c>
    </row>
    <row r="246" spans="1:13" x14ac:dyDescent="0.35">
      <c r="A246" s="7">
        <v>231</v>
      </c>
      <c r="B246" s="12">
        <f t="shared" si="34"/>
        <v>-7.3584784132663117E-6</v>
      </c>
      <c r="C246" s="12">
        <f t="shared" si="35"/>
        <v>49</v>
      </c>
      <c r="D246" s="12">
        <f t="shared" si="36"/>
        <v>0.74999572421368588</v>
      </c>
      <c r="E246" s="12">
        <f t="shared" si="37"/>
        <v>3.2009279422595682E-6</v>
      </c>
      <c r="F246" s="12">
        <f t="shared" si="38"/>
        <v>7</v>
      </c>
      <c r="G246" s="12">
        <f t="shared" si="39"/>
        <v>5.0013019727978607E-2</v>
      </c>
      <c r="H246" s="12">
        <f t="shared" si="40"/>
        <v>-3.2061505983449479E-7</v>
      </c>
      <c r="I246" s="12">
        <f>2</f>
        <v>2</v>
      </c>
      <c r="J246" s="12">
        <f t="shared" si="41"/>
        <v>0.54999543566013154</v>
      </c>
      <c r="K246" s="12">
        <f t="shared" si="33"/>
        <v>1.2500000018328628E-2</v>
      </c>
      <c r="L246" s="12">
        <f t="shared" si="42"/>
        <v>4.5727542032081292E-7</v>
      </c>
      <c r="M246" s="7" t="str">
        <f t="shared" si="43"/>
        <v>no</v>
      </c>
    </row>
    <row r="247" spans="1:13" x14ac:dyDescent="0.35">
      <c r="A247" s="7">
        <v>232</v>
      </c>
      <c r="B247" s="12">
        <f t="shared" si="34"/>
        <v>-7.1088048585465913E-6</v>
      </c>
      <c r="C247" s="12">
        <f t="shared" si="35"/>
        <v>49</v>
      </c>
      <c r="D247" s="12">
        <f t="shared" si="36"/>
        <v>0.7499958692913361</v>
      </c>
      <c r="E247" s="12">
        <f t="shared" si="37"/>
        <v>3.0923202949395545E-6</v>
      </c>
      <c r="F247" s="12">
        <f t="shared" si="38"/>
        <v>7</v>
      </c>
      <c r="G247" s="12">
        <f t="shared" si="39"/>
        <v>5.001257796793647E-2</v>
      </c>
      <c r="H247" s="12">
        <f t="shared" si="40"/>
        <v>-3.0973657505484198E-7</v>
      </c>
      <c r="I247" s="12">
        <f>2</f>
        <v>2</v>
      </c>
      <c r="J247" s="12">
        <f t="shared" si="41"/>
        <v>0.54999559052841906</v>
      </c>
      <c r="K247" s="12">
        <f t="shared" si="33"/>
        <v>1.2500000017105955E-2</v>
      </c>
      <c r="L247" s="12">
        <f t="shared" si="42"/>
        <v>4.4176004213719589E-7</v>
      </c>
      <c r="M247" s="7" t="str">
        <f t="shared" si="43"/>
        <v>no</v>
      </c>
    </row>
    <row r="248" spans="1:13" x14ac:dyDescent="0.35">
      <c r="A248" s="7">
        <v>233</v>
      </c>
      <c r="B248" s="12">
        <f t="shared" si="34"/>
        <v>-6.8676027424885433E-6</v>
      </c>
      <c r="C248" s="12">
        <f t="shared" si="35"/>
        <v>49</v>
      </c>
      <c r="D248" s="12">
        <f t="shared" si="36"/>
        <v>0.74999600944649414</v>
      </c>
      <c r="E248" s="12">
        <f t="shared" si="37"/>
        <v>2.987397706988304E-6</v>
      </c>
      <c r="F248" s="12">
        <f t="shared" si="38"/>
        <v>7</v>
      </c>
      <c r="G248" s="12">
        <f t="shared" si="39"/>
        <v>5.0012151196835469E-2</v>
      </c>
      <c r="H248" s="12">
        <f t="shared" si="40"/>
        <v>-2.9922719679831289E-7</v>
      </c>
      <c r="I248" s="12">
        <f>2</f>
        <v>2</v>
      </c>
      <c r="J248" s="12">
        <f t="shared" si="41"/>
        <v>0.54999574014201746</v>
      </c>
      <c r="K248" s="12">
        <f t="shared" si="33"/>
        <v>1.2500000015964803E-2</v>
      </c>
      <c r="L248" s="12">
        <f t="shared" si="42"/>
        <v>4.2677110100031168E-7</v>
      </c>
      <c r="M248" s="7" t="str">
        <f t="shared" si="43"/>
        <v>no</v>
      </c>
    </row>
    <row r="249" spans="1:13" x14ac:dyDescent="0.35">
      <c r="A249" s="7">
        <v>234</v>
      </c>
      <c r="B249" s="12">
        <f t="shared" si="34"/>
        <v>-6.6345846292392707E-6</v>
      </c>
      <c r="C249" s="12">
        <f t="shared" si="35"/>
        <v>49</v>
      </c>
      <c r="D249" s="12">
        <f t="shared" si="36"/>
        <v>0.74999614484618049</v>
      </c>
      <c r="E249" s="12">
        <f t="shared" si="37"/>
        <v>2.8860351495296754E-6</v>
      </c>
      <c r="F249" s="12">
        <f t="shared" si="38"/>
        <v>7</v>
      </c>
      <c r="G249" s="12">
        <f t="shared" si="39"/>
        <v>5.001173890609982E-2</v>
      </c>
      <c r="H249" s="12">
        <f t="shared" si="40"/>
        <v>-2.8907440263736817E-7</v>
      </c>
      <c r="I249" s="12">
        <f>2</f>
        <v>2</v>
      </c>
      <c r="J249" s="12">
        <f t="shared" si="41"/>
        <v>0.54999588467921878</v>
      </c>
      <c r="K249" s="12">
        <f t="shared" si="33"/>
        <v>1.2500000014899836E-2</v>
      </c>
      <c r="L249" s="12">
        <f t="shared" si="42"/>
        <v>4.1229073564907903E-7</v>
      </c>
      <c r="M249" s="7" t="str">
        <f t="shared" si="43"/>
        <v>no</v>
      </c>
    </row>
    <row r="250" spans="1:13" x14ac:dyDescent="0.35">
      <c r="A250" s="7">
        <v>235</v>
      </c>
      <c r="B250" s="12">
        <f t="shared" si="34"/>
        <v>-6.4094728244867838E-6</v>
      </c>
      <c r="C250" s="12">
        <f t="shared" si="35"/>
        <v>49</v>
      </c>
      <c r="D250" s="12">
        <f t="shared" si="36"/>
        <v>0.74999627565174831</v>
      </c>
      <c r="E250" s="12">
        <f t="shared" si="37"/>
        <v>2.7881118249695191E-6</v>
      </c>
      <c r="F250" s="12">
        <f t="shared" si="38"/>
        <v>7</v>
      </c>
      <c r="G250" s="12">
        <f t="shared" si="39"/>
        <v>5.0011340604410537E-2</v>
      </c>
      <c r="H250" s="12">
        <f t="shared" si="40"/>
        <v>-2.7926609202921782E-7</v>
      </c>
      <c r="I250" s="12">
        <f>2</f>
        <v>2</v>
      </c>
      <c r="J250" s="12">
        <f t="shared" si="41"/>
        <v>0.5499960243122648</v>
      </c>
      <c r="K250" s="12">
        <f t="shared" si="33"/>
        <v>1.2500000013905841E-2</v>
      </c>
      <c r="L250" s="12">
        <f t="shared" si="42"/>
        <v>3.9830168928334242E-7</v>
      </c>
      <c r="M250" s="7" t="str">
        <f t="shared" si="43"/>
        <v>no</v>
      </c>
    </row>
    <row r="251" spans="1:13" x14ac:dyDescent="0.35">
      <c r="A251" s="7">
        <v>236</v>
      </c>
      <c r="B251" s="12">
        <f t="shared" si="34"/>
        <v>-6.1919990912429057E-6</v>
      </c>
      <c r="C251" s="12">
        <f t="shared" si="35"/>
        <v>49</v>
      </c>
      <c r="D251" s="12">
        <f t="shared" si="36"/>
        <v>0.74999640201907669</v>
      </c>
      <c r="E251" s="12">
        <f t="shared" si="37"/>
        <v>2.6935110497561254E-6</v>
      </c>
      <c r="F251" s="12">
        <f t="shared" si="38"/>
        <v>7</v>
      </c>
      <c r="G251" s="12">
        <f t="shared" si="39"/>
        <v>5.0010955817117717E-2</v>
      </c>
      <c r="H251" s="12">
        <f t="shared" si="40"/>
        <v>-2.6979058098675068E-7</v>
      </c>
      <c r="I251" s="12">
        <f>2</f>
        <v>2</v>
      </c>
      <c r="J251" s="12">
        <f t="shared" si="41"/>
        <v>0.54999615920755529</v>
      </c>
      <c r="K251" s="12">
        <f t="shared" si="33"/>
        <v>1.2500000012978244E-2</v>
      </c>
      <c r="L251" s="12">
        <f t="shared" si="42"/>
        <v>3.8478729282032109E-7</v>
      </c>
      <c r="M251" s="7" t="str">
        <f t="shared" si="43"/>
        <v>no</v>
      </c>
    </row>
    <row r="252" spans="1:13" x14ac:dyDescent="0.35">
      <c r="A252" s="7">
        <v>237</v>
      </c>
      <c r="B252" s="12">
        <f t="shared" si="34"/>
        <v>-5.9819042377284859E-6</v>
      </c>
      <c r="C252" s="12">
        <f t="shared" si="35"/>
        <v>49</v>
      </c>
      <c r="D252" s="12">
        <f t="shared" si="36"/>
        <v>0.74999652409875506</v>
      </c>
      <c r="E252" s="12">
        <f t="shared" si="37"/>
        <v>2.6021200802972544E-6</v>
      </c>
      <c r="F252" s="12">
        <f t="shared" si="38"/>
        <v>7</v>
      </c>
      <c r="G252" s="12">
        <f t="shared" si="39"/>
        <v>5.0010584085677677E-2</v>
      </c>
      <c r="H252" s="12">
        <f t="shared" si="40"/>
        <v>-2.6063657099228976E-7</v>
      </c>
      <c r="I252" s="12">
        <f>2</f>
        <v>2</v>
      </c>
      <c r="J252" s="12">
        <f t="shared" si="41"/>
        <v>0.54999628952584079</v>
      </c>
      <c r="K252" s="12">
        <f t="shared" si="33"/>
        <v>1.2500000012112458E-2</v>
      </c>
      <c r="L252" s="12">
        <f t="shared" si="42"/>
        <v>3.717314400394911E-7</v>
      </c>
      <c r="M252" s="7" t="str">
        <f t="shared" si="43"/>
        <v>no</v>
      </c>
    </row>
    <row r="253" spans="1:13" x14ac:dyDescent="0.35">
      <c r="A253" s="7">
        <v>238</v>
      </c>
      <c r="B253" s="12">
        <f t="shared" si="34"/>
        <v>-5.778937918421434E-6</v>
      </c>
      <c r="C253" s="12">
        <f t="shared" si="35"/>
        <v>49</v>
      </c>
      <c r="D253" s="12">
        <f t="shared" si="36"/>
        <v>0.74999664203626359</v>
      </c>
      <c r="E253" s="12">
        <f t="shared" si="37"/>
        <v>2.5138300117077961E-6</v>
      </c>
      <c r="F253" s="12">
        <f t="shared" si="38"/>
        <v>7</v>
      </c>
      <c r="G253" s="12">
        <f t="shared" si="39"/>
        <v>5.0010224967104576E-2</v>
      </c>
      <c r="H253" s="12">
        <f t="shared" si="40"/>
        <v>-2.5179315965573323E-7</v>
      </c>
      <c r="I253" s="12">
        <f>2</f>
        <v>2</v>
      </c>
      <c r="J253" s="12">
        <f t="shared" si="41"/>
        <v>0.54999641542242061</v>
      </c>
      <c r="K253" s="12">
        <f t="shared" si="33"/>
        <v>1.2500000011304446E-2</v>
      </c>
      <c r="L253" s="12">
        <f t="shared" si="42"/>
        <v>3.5911857310111372E-7</v>
      </c>
      <c r="M253" s="7" t="str">
        <f t="shared" si="43"/>
        <v>no</v>
      </c>
    </row>
    <row r="254" spans="1:13" x14ac:dyDescent="0.35">
      <c r="A254" s="7">
        <v>239</v>
      </c>
      <c r="B254" s="12">
        <f t="shared" si="34"/>
        <v>-5.5828582574690699E-6</v>
      </c>
      <c r="C254" s="12">
        <f t="shared" si="35"/>
        <v>49</v>
      </c>
      <c r="D254" s="12">
        <f t="shared" si="36"/>
        <v>0.74999675597214643</v>
      </c>
      <c r="E254" s="12">
        <f t="shared" si="37"/>
        <v>2.4285356303721528E-6</v>
      </c>
      <c r="F254" s="12">
        <f t="shared" si="38"/>
        <v>7</v>
      </c>
      <c r="G254" s="12">
        <f t="shared" si="39"/>
        <v>5.0009878033443096E-2</v>
      </c>
      <c r="H254" s="12">
        <f t="shared" si="40"/>
        <v>-2.4324980429923926E-7</v>
      </c>
      <c r="I254" s="12">
        <f>2</f>
        <v>2</v>
      </c>
      <c r="J254" s="12">
        <f t="shared" si="41"/>
        <v>0.54999653704732276</v>
      </c>
      <c r="K254" s="12">
        <f t="shared" si="33"/>
        <v>1.2500000010550308E-2</v>
      </c>
      <c r="L254" s="12">
        <f t="shared" si="42"/>
        <v>3.4693366147975357E-7</v>
      </c>
      <c r="M254" s="7" t="str">
        <f t="shared" si="43"/>
        <v>no</v>
      </c>
    </row>
    <row r="255" spans="1:13" x14ac:dyDescent="0.35">
      <c r="A255" s="7">
        <v>240</v>
      </c>
      <c r="B255" s="12">
        <f t="shared" si="34"/>
        <v>-5.393431592892739E-6</v>
      </c>
      <c r="C255" s="12">
        <f t="shared" si="35"/>
        <v>49</v>
      </c>
      <c r="D255" s="12">
        <f t="shared" si="36"/>
        <v>0.74999686604217897</v>
      </c>
      <c r="E255" s="12">
        <f t="shared" si="37"/>
        <v>2.3461352913756173E-6</v>
      </c>
      <c r="F255" s="12">
        <f t="shared" si="38"/>
        <v>7</v>
      </c>
      <c r="G255" s="12">
        <f t="shared" si="39"/>
        <v>5.0009542871258611E-2</v>
      </c>
      <c r="H255" s="12">
        <f t="shared" si="40"/>
        <v>-2.3499632550993965E-7</v>
      </c>
      <c r="I255" s="12">
        <f>2</f>
        <v>2</v>
      </c>
      <c r="J255" s="12">
        <f t="shared" si="41"/>
        <v>0.54999665454548552</v>
      </c>
      <c r="K255" s="12">
        <f t="shared" si="33"/>
        <v>1.2500000009846543E-2</v>
      </c>
      <c r="L255" s="12">
        <f t="shared" si="42"/>
        <v>3.3516218448520485E-7</v>
      </c>
      <c r="M255" s="7" t="str">
        <f t="shared" si="43"/>
        <v>no</v>
      </c>
    </row>
    <row r="256" spans="1:13" x14ac:dyDescent="0.35">
      <c r="A256" s="7">
        <v>241</v>
      </c>
      <c r="B256" s="12">
        <f t="shared" si="34"/>
        <v>-5.2104321781598628E-6</v>
      </c>
      <c r="C256" s="12">
        <f t="shared" si="35"/>
        <v>49</v>
      </c>
      <c r="D256" s="12">
        <f t="shared" si="36"/>
        <v>0.74999697237752949</v>
      </c>
      <c r="E256" s="12">
        <f t="shared" si="37"/>
        <v>2.2665307959357506E-6</v>
      </c>
      <c r="F256" s="12">
        <f t="shared" si="38"/>
        <v>7</v>
      </c>
      <c r="G256" s="12">
        <f t="shared" si="39"/>
        <v>5.0009219081144904E-2</v>
      </c>
      <c r="H256" s="12">
        <f t="shared" si="40"/>
        <v>-2.2702288760001466E-7</v>
      </c>
      <c r="I256" s="12">
        <f>2</f>
        <v>2</v>
      </c>
      <c r="J256" s="12">
        <f t="shared" si="41"/>
        <v>0.54999676805692932</v>
      </c>
      <c r="K256" s="12">
        <f t="shared" si="33"/>
        <v>1.2500000009189712E-2</v>
      </c>
      <c r="L256" s="12">
        <f t="shared" si="42"/>
        <v>3.2379011370708977E-7</v>
      </c>
      <c r="M256" s="7" t="str">
        <f t="shared" si="43"/>
        <v>no</v>
      </c>
    </row>
    <row r="257" spans="1:13" x14ac:dyDescent="0.35">
      <c r="A257" s="7">
        <v>242</v>
      </c>
      <c r="B257" s="12">
        <f t="shared" si="34"/>
        <v>-5.0336419405994093E-6</v>
      </c>
      <c r="C257" s="12">
        <f t="shared" si="35"/>
        <v>49</v>
      </c>
      <c r="D257" s="12">
        <f t="shared" si="36"/>
        <v>0.74999707510491609</v>
      </c>
      <c r="E257" s="12">
        <f t="shared" si="37"/>
        <v>2.1896272919263993E-6</v>
      </c>
      <c r="F257" s="12">
        <f t="shared" si="38"/>
        <v>7</v>
      </c>
      <c r="G257" s="12">
        <f t="shared" si="39"/>
        <v>5.0008906277246058E-2</v>
      </c>
      <c r="H257" s="12">
        <f t="shared" si="40"/>
        <v>-2.1931999061308716E-7</v>
      </c>
      <c r="I257" s="12">
        <f>2</f>
        <v>2</v>
      </c>
      <c r="J257" s="12">
        <f t="shared" si="41"/>
        <v>0.54999687771692463</v>
      </c>
      <c r="K257" s="12">
        <f t="shared" si="33"/>
        <v>1.2500000008576623E-2</v>
      </c>
      <c r="L257" s="12">
        <f t="shared" si="42"/>
        <v>3.128038988456372E-7</v>
      </c>
      <c r="M257" s="7" t="str">
        <f t="shared" si="43"/>
        <v>no</v>
      </c>
    </row>
    <row r="258" spans="1:13" x14ac:dyDescent="0.35">
      <c r="A258" s="7">
        <v>243</v>
      </c>
      <c r="B258" s="12">
        <f t="shared" si="34"/>
        <v>-4.8628502113956529E-6</v>
      </c>
      <c r="C258" s="12">
        <f t="shared" si="35"/>
        <v>49</v>
      </c>
      <c r="D258" s="12">
        <f t="shared" si="36"/>
        <v>0.74999717434675717</v>
      </c>
      <c r="E258" s="12">
        <f t="shared" si="37"/>
        <v>2.1153331246637208E-6</v>
      </c>
      <c r="F258" s="12">
        <f t="shared" si="38"/>
        <v>7</v>
      </c>
      <c r="G258" s="12">
        <f t="shared" si="39"/>
        <v>5.0008604086799677E-2</v>
      </c>
      <c r="H258" s="12">
        <f t="shared" si="40"/>
        <v>-2.1187845167247588E-7</v>
      </c>
      <c r="I258" s="12">
        <f>2</f>
        <v>2</v>
      </c>
      <c r="J258" s="12">
        <f t="shared" si="41"/>
        <v>0.54999698365615046</v>
      </c>
      <c r="K258" s="12">
        <f t="shared" si="33"/>
        <v>1.2500000008004539E-2</v>
      </c>
      <c r="L258" s="12">
        <f t="shared" si="42"/>
        <v>3.0219044638152281E-7</v>
      </c>
      <c r="M258" s="7" t="str">
        <f t="shared" si="43"/>
        <v>no</v>
      </c>
    </row>
    <row r="259" spans="1:13" x14ac:dyDescent="0.35">
      <c r="A259" s="7">
        <v>244</v>
      </c>
      <c r="B259" s="12">
        <f t="shared" si="34"/>
        <v>-4.6978534555819351E-6</v>
      </c>
      <c r="C259" s="12">
        <f t="shared" si="35"/>
        <v>49</v>
      </c>
      <c r="D259" s="12">
        <f t="shared" si="36"/>
        <v>0.74999727022131746</v>
      </c>
      <c r="E259" s="12">
        <f t="shared" si="37"/>
        <v>2.0435597640755532E-6</v>
      </c>
      <c r="F259" s="12">
        <f t="shared" si="38"/>
        <v>7</v>
      </c>
      <c r="G259" s="12">
        <f t="shared" si="39"/>
        <v>5.0008312149690523E-2</v>
      </c>
      <c r="H259" s="12">
        <f t="shared" si="40"/>
        <v>-2.0468940586937379E-7</v>
      </c>
      <c r="I259" s="12">
        <f>2</f>
        <v>2</v>
      </c>
      <c r="J259" s="12">
        <f t="shared" si="41"/>
        <v>0.5499970860008534</v>
      </c>
      <c r="K259" s="12">
        <f t="shared" si="33"/>
        <v>1.2500000007470568E-2</v>
      </c>
      <c r="L259" s="12">
        <f t="shared" si="42"/>
        <v>2.9193710915365045E-7</v>
      </c>
      <c r="M259" s="7" t="str">
        <f t="shared" si="43"/>
        <v>no</v>
      </c>
    </row>
    <row r="260" spans="1:13" x14ac:dyDescent="0.35">
      <c r="A260" s="7">
        <v>245</v>
      </c>
      <c r="B260" s="12">
        <f t="shared" si="34"/>
        <v>-4.5384550446669891E-6</v>
      </c>
      <c r="C260" s="12">
        <f t="shared" si="35"/>
        <v>49</v>
      </c>
      <c r="D260" s="12">
        <f t="shared" si="36"/>
        <v>0.74999736284284901</v>
      </c>
      <c r="E260" s="12">
        <f t="shared" si="37"/>
        <v>1.9742216750273656E-6</v>
      </c>
      <c r="F260" s="12">
        <f t="shared" si="38"/>
        <v>7</v>
      </c>
      <c r="G260" s="12">
        <f t="shared" si="39"/>
        <v>5.0008030118022663E-2</v>
      </c>
      <c r="H260" s="12">
        <f t="shared" si="40"/>
        <v>-1.9774428139385236E-7</v>
      </c>
      <c r="I260" s="12">
        <f>2</f>
        <v>2</v>
      </c>
      <c r="J260" s="12">
        <f t="shared" si="41"/>
        <v>0.54999718487299409</v>
      </c>
      <c r="K260" s="12">
        <f t="shared" si="33"/>
        <v>1.2500000006972189E-2</v>
      </c>
      <c r="L260" s="12">
        <f t="shared" si="42"/>
        <v>2.8203166786006095E-7</v>
      </c>
      <c r="M260" s="7" t="str">
        <f t="shared" si="43"/>
        <v>no</v>
      </c>
    </row>
    <row r="261" spans="1:13" x14ac:dyDescent="0.35">
      <c r="A261" s="7">
        <v>246</v>
      </c>
      <c r="B261" s="12">
        <f t="shared" si="34"/>
        <v>-4.3844650363666915E-6</v>
      </c>
      <c r="C261" s="12">
        <f t="shared" si="35"/>
        <v>49</v>
      </c>
      <c r="D261" s="12">
        <f t="shared" si="36"/>
        <v>0.74999745232172732</v>
      </c>
      <c r="E261" s="12">
        <f t="shared" si="37"/>
        <v>1.9072362320571301E-6</v>
      </c>
      <c r="F261" s="12">
        <f t="shared" si="38"/>
        <v>7</v>
      </c>
      <c r="G261" s="12">
        <f t="shared" si="39"/>
        <v>5.0007757655703797E-2</v>
      </c>
      <c r="H261" s="12">
        <f t="shared" si="40"/>
        <v>-1.9103480930482419E-7</v>
      </c>
      <c r="I261" s="12">
        <f>2</f>
        <v>2</v>
      </c>
      <c r="J261" s="12">
        <f t="shared" si="41"/>
        <v>0.54999728039039875</v>
      </c>
      <c r="K261" s="12">
        <f t="shared" si="33"/>
        <v>1.2500000006507099E-2</v>
      </c>
      <c r="L261" s="12">
        <f t="shared" si="42"/>
        <v>2.7246231886629557E-7</v>
      </c>
      <c r="M261" s="7" t="str">
        <f t="shared" si="43"/>
        <v>no</v>
      </c>
    </row>
    <row r="262" spans="1:13" x14ac:dyDescent="0.35">
      <c r="A262" s="7">
        <v>247</v>
      </c>
      <c r="B262" s="12">
        <f t="shared" si="34"/>
        <v>-4.2356998974923954E-6</v>
      </c>
      <c r="C262" s="12">
        <f t="shared" si="35"/>
        <v>49</v>
      </c>
      <c r="D262" s="12">
        <f t="shared" si="36"/>
        <v>0.74999753876458242</v>
      </c>
      <c r="E262" s="12">
        <f t="shared" si="37"/>
        <v>1.842523607464841E-6</v>
      </c>
      <c r="F262" s="12">
        <f t="shared" si="38"/>
        <v>7</v>
      </c>
      <c r="G262" s="12">
        <f t="shared" si="39"/>
        <v>5.0007494438045585E-2</v>
      </c>
      <c r="H262" s="12">
        <f t="shared" si="40"/>
        <v>-1.8455298889108462E-7</v>
      </c>
      <c r="I262" s="12">
        <f>2</f>
        <v>2</v>
      </c>
      <c r="J262" s="12">
        <f t="shared" si="41"/>
        <v>0.54999737266689319</v>
      </c>
      <c r="K262" s="12">
        <f t="shared" si="33"/>
        <v>1.250000000607298E-2</v>
      </c>
      <c r="L262" s="12">
        <f t="shared" si="42"/>
        <v>2.6321765821124554E-7</v>
      </c>
      <c r="M262" s="7" t="str">
        <f t="shared" si="43"/>
        <v>no</v>
      </c>
    </row>
    <row r="263" spans="1:13" x14ac:dyDescent="0.35">
      <c r="A263" s="7">
        <v>248</v>
      </c>
      <c r="B263" s="12">
        <f t="shared" si="34"/>
        <v>-4.0919823902640928E-6</v>
      </c>
      <c r="C263" s="12">
        <f t="shared" si="35"/>
        <v>49</v>
      </c>
      <c r="D263" s="12">
        <f t="shared" si="36"/>
        <v>0.74999762227442712</v>
      </c>
      <c r="E263" s="12">
        <f t="shared" si="37"/>
        <v>1.7800066878237431E-6</v>
      </c>
      <c r="F263" s="12">
        <f t="shared" si="38"/>
        <v>7</v>
      </c>
      <c r="G263" s="12">
        <f t="shared" si="39"/>
        <v>5.0007240151375899E-2</v>
      </c>
      <c r="H263" s="12">
        <f t="shared" si="40"/>
        <v>-1.7829109566491752E-7</v>
      </c>
      <c r="I263" s="12">
        <f>2</f>
        <v>2</v>
      </c>
      <c r="J263" s="12">
        <f t="shared" si="41"/>
        <v>0.54999746181244102</v>
      </c>
      <c r="K263" s="12">
        <f t="shared" si="33"/>
        <v>1.2500000005667851E-2</v>
      </c>
      <c r="L263" s="12">
        <f t="shared" si="42"/>
        <v>2.5428666968613234E-7</v>
      </c>
      <c r="M263" s="7" t="str">
        <f t="shared" si="43"/>
        <v>no</v>
      </c>
    </row>
    <row r="264" spans="1:13" x14ac:dyDescent="0.35">
      <c r="A264" s="7">
        <v>249</v>
      </c>
      <c r="B264" s="12">
        <f t="shared" si="34"/>
        <v>-3.9531412170390468E-6</v>
      </c>
      <c r="C264" s="12">
        <f t="shared" si="35"/>
        <v>49</v>
      </c>
      <c r="D264" s="12">
        <f t="shared" si="36"/>
        <v>0.7499977029507785</v>
      </c>
      <c r="E264" s="12">
        <f t="shared" si="37"/>
        <v>1.7196109673989213E-6</v>
      </c>
      <c r="F264" s="12">
        <f t="shared" si="38"/>
        <v>7</v>
      </c>
      <c r="G264" s="12">
        <f t="shared" si="39"/>
        <v>5.0006994492666268E-2</v>
      </c>
      <c r="H264" s="12">
        <f t="shared" si="40"/>
        <v>-1.7224166981577582E-7</v>
      </c>
      <c r="I264" s="12">
        <f>2</f>
        <v>2</v>
      </c>
      <c r="J264" s="12">
        <f t="shared" si="41"/>
        <v>0.54999754793327593</v>
      </c>
      <c r="K264" s="12">
        <f t="shared" si="33"/>
        <v>1.2500000005289762E-2</v>
      </c>
      <c r="L264" s="12">
        <f t="shared" si="42"/>
        <v>2.4565870963139114E-7</v>
      </c>
      <c r="M264" s="7" t="str">
        <f t="shared" si="43"/>
        <v>no</v>
      </c>
    </row>
    <row r="265" spans="1:13" x14ac:dyDescent="0.35">
      <c r="A265" s="7">
        <v>250</v>
      </c>
      <c r="B265" s="12">
        <f t="shared" si="34"/>
        <v>-3.8190109279412354E-6</v>
      </c>
      <c r="C265" s="12">
        <f t="shared" si="35"/>
        <v>49</v>
      </c>
      <c r="D265" s="12">
        <f t="shared" si="36"/>
        <v>0.74999778088977698</v>
      </c>
      <c r="E265" s="12">
        <f t="shared" si="37"/>
        <v>1.6612644770930274E-6</v>
      </c>
      <c r="F265" s="12">
        <f t="shared" si="38"/>
        <v>7</v>
      </c>
      <c r="G265" s="12">
        <f t="shared" si="39"/>
        <v>5.0006757169169538E-2</v>
      </c>
      <c r="H265" s="12">
        <f t="shared" si="40"/>
        <v>-1.663975011112484E-7</v>
      </c>
      <c r="I265" s="12">
        <f>2</f>
        <v>2</v>
      </c>
      <c r="J265" s="12">
        <f t="shared" si="41"/>
        <v>0.54999763113202649</v>
      </c>
      <c r="K265" s="12">
        <f t="shared" si="33"/>
        <v>1.2500000004936888E-2</v>
      </c>
      <c r="L265" s="12">
        <f t="shared" si="42"/>
        <v>2.3732349672955788E-7</v>
      </c>
      <c r="M265" s="7" t="str">
        <f t="shared" si="43"/>
        <v>no</v>
      </c>
    </row>
    <row r="266" spans="1:13" x14ac:dyDescent="0.35">
      <c r="A266" s="7">
        <v>251</v>
      </c>
      <c r="B266" s="12">
        <f t="shared" si="34"/>
        <v>-3.6894316863822496E-6</v>
      </c>
      <c r="C266" s="12">
        <f t="shared" si="35"/>
        <v>49</v>
      </c>
      <c r="D266" s="12">
        <f t="shared" si="36"/>
        <v>0.74999785618430115</v>
      </c>
      <c r="E266" s="12">
        <f t="shared" si="37"/>
        <v>1.6048976867466536E-6</v>
      </c>
      <c r="F266" s="12">
        <f t="shared" si="38"/>
        <v>7</v>
      </c>
      <c r="G266" s="12">
        <f t="shared" si="39"/>
        <v>5.0006527898071432E-2</v>
      </c>
      <c r="H266" s="12">
        <f t="shared" si="40"/>
        <v>-1.6075162445616797E-7</v>
      </c>
      <c r="I266" s="12">
        <f>2</f>
        <v>2</v>
      </c>
      <c r="J266" s="12">
        <f t="shared" si="41"/>
        <v>0.54999771150783872</v>
      </c>
      <c r="K266" s="12">
        <f t="shared" si="33"/>
        <v>1.2500000004607598E-2</v>
      </c>
      <c r="L266" s="12">
        <f t="shared" si="42"/>
        <v>2.2927109810666479E-7</v>
      </c>
      <c r="M266" s="7" t="str">
        <f t="shared" si="43"/>
        <v>no</v>
      </c>
    </row>
    <row r="267" spans="1:13" x14ac:dyDescent="0.35">
      <c r="A267" s="7">
        <v>252</v>
      </c>
      <c r="B267" s="12">
        <f t="shared" si="34"/>
        <v>-3.5642490843201813E-6</v>
      </c>
      <c r="C267" s="12">
        <f t="shared" si="35"/>
        <v>49</v>
      </c>
      <c r="D267" s="12">
        <f t="shared" si="36"/>
        <v>0.74999792892407835</v>
      </c>
      <c r="E267" s="12">
        <f t="shared" si="37"/>
        <v>1.5504434269786316E-6</v>
      </c>
      <c r="F267" s="12">
        <f t="shared" si="38"/>
        <v>7</v>
      </c>
      <c r="G267" s="12">
        <f t="shared" si="39"/>
        <v>5.0006306406153292E-2</v>
      </c>
      <c r="H267" s="12">
        <f t="shared" si="40"/>
        <v>-1.5529731456354057E-7</v>
      </c>
      <c r="I267" s="12">
        <f>2</f>
        <v>2</v>
      </c>
      <c r="J267" s="12">
        <f t="shared" si="41"/>
        <v>0.549997789156496</v>
      </c>
      <c r="K267" s="12">
        <f t="shared" si="33"/>
        <v>1.2500000004300208E-2</v>
      </c>
      <c r="L267" s="12">
        <f t="shared" si="42"/>
        <v>2.2149191813980451E-7</v>
      </c>
      <c r="M267" s="7" t="str">
        <f t="shared" si="43"/>
        <v>no</v>
      </c>
    </row>
    <row r="268" spans="1:13" x14ac:dyDescent="0.35">
      <c r="A268" s="7">
        <v>253</v>
      </c>
      <c r="B268" s="12">
        <f t="shared" si="34"/>
        <v>-3.4433139290968029E-6</v>
      </c>
      <c r="C268" s="12">
        <f t="shared" si="35"/>
        <v>49</v>
      </c>
      <c r="D268" s="12">
        <f t="shared" si="36"/>
        <v>0.74999799919579124</v>
      </c>
      <c r="E268" s="12">
        <f t="shared" si="37"/>
        <v>1.4978368039209045E-6</v>
      </c>
      <c r="F268" s="12">
        <f t="shared" si="38"/>
        <v>7</v>
      </c>
      <c r="G268" s="12">
        <f t="shared" si="39"/>
        <v>5.0006092429467019E-2</v>
      </c>
      <c r="H268" s="12">
        <f t="shared" si="40"/>
        <v>-1.5002806819097714E-7</v>
      </c>
      <c r="I268" s="12">
        <f>2</f>
        <v>2</v>
      </c>
      <c r="J268" s="12">
        <f t="shared" si="41"/>
        <v>0.54999786417053009</v>
      </c>
      <c r="K268" s="12">
        <f t="shared" si="33"/>
        <v>1.250000000401333E-2</v>
      </c>
      <c r="L268" s="12">
        <f t="shared" si="42"/>
        <v>2.1397668627243238E-7</v>
      </c>
      <c r="M268" s="7" t="str">
        <f t="shared" si="43"/>
        <v>no</v>
      </c>
    </row>
    <row r="269" spans="1:13" x14ac:dyDescent="0.35">
      <c r="A269" s="7">
        <v>254</v>
      </c>
      <c r="B269" s="12">
        <f t="shared" si="34"/>
        <v>-3.3264821155398749E-6</v>
      </c>
      <c r="C269" s="12">
        <f t="shared" si="35"/>
        <v>49</v>
      </c>
      <c r="D269" s="12">
        <f t="shared" si="36"/>
        <v>0.7499980670831814</v>
      </c>
      <c r="E269" s="12">
        <f t="shared" si="37"/>
        <v>1.4470151246115392E-6</v>
      </c>
      <c r="F269" s="12">
        <f t="shared" si="38"/>
        <v>7</v>
      </c>
      <c r="G269" s="12">
        <f t="shared" si="39"/>
        <v>5.0005885713020649E-2</v>
      </c>
      <c r="H269" s="12">
        <f t="shared" si="40"/>
        <v>-1.4493760769340724E-7</v>
      </c>
      <c r="I269" s="12">
        <f>2</f>
        <v>2</v>
      </c>
      <c r="J269" s="12">
        <f t="shared" si="41"/>
        <v>0.54999793663933394</v>
      </c>
      <c r="K269" s="12">
        <f t="shared" si="33"/>
        <v>1.2500000003745597E-2</v>
      </c>
      <c r="L269" s="12">
        <f t="shared" si="42"/>
        <v>2.0671644637010322E-7</v>
      </c>
      <c r="M269" s="7" t="str">
        <f t="shared" si="43"/>
        <v>no</v>
      </c>
    </row>
    <row r="270" spans="1:13" x14ac:dyDescent="0.35">
      <c r="A270" s="7">
        <v>255</v>
      </c>
      <c r="B270" s="12">
        <f t="shared" si="34"/>
        <v>-3.2136143985894705E-6</v>
      </c>
      <c r="C270" s="12">
        <f t="shared" si="35"/>
        <v>49</v>
      </c>
      <c r="D270" s="12">
        <f t="shared" si="36"/>
        <v>0.74999813266714876</v>
      </c>
      <c r="E270" s="12">
        <f t="shared" si="37"/>
        <v>1.3979178241640966E-6</v>
      </c>
      <c r="F270" s="12">
        <f t="shared" si="38"/>
        <v>7</v>
      </c>
      <c r="G270" s="12">
        <f t="shared" si="39"/>
        <v>5.0005686010474337E-2</v>
      </c>
      <c r="H270" s="12">
        <f t="shared" si="40"/>
        <v>-1.4001986770040276E-7</v>
      </c>
      <c r="I270" s="12">
        <f>2</f>
        <v>2</v>
      </c>
      <c r="J270" s="12">
        <f t="shared" si="41"/>
        <v>0.54999800664926779</v>
      </c>
      <c r="K270" s="12">
        <f t="shared" si="33"/>
        <v>1.250000000349575E-2</v>
      </c>
      <c r="L270" s="12">
        <f t="shared" si="42"/>
        <v>1.9970254631213047E-7</v>
      </c>
      <c r="M270" s="7" t="str">
        <f t="shared" si="43"/>
        <v>no</v>
      </c>
    </row>
    <row r="271" spans="1:13" x14ac:dyDescent="0.35">
      <c r="A271" s="7">
        <v>256</v>
      </c>
      <c r="B271" s="12">
        <f t="shared" si="34"/>
        <v>-3.1045762938219923E-6</v>
      </c>
      <c r="C271" s="12">
        <f t="shared" si="35"/>
        <v>49</v>
      </c>
      <c r="D271" s="12">
        <f t="shared" si="36"/>
        <v>0.74999819602584861</v>
      </c>
      <c r="E271" s="12">
        <f t="shared" si="37"/>
        <v>1.3504863982660709E-6</v>
      </c>
      <c r="F271" s="12">
        <f t="shared" si="38"/>
        <v>7</v>
      </c>
      <c r="G271" s="12">
        <f t="shared" si="39"/>
        <v>5.0005493083846012E-2</v>
      </c>
      <c r="H271" s="12">
        <f t="shared" si="40"/>
        <v>-1.3526898623439365E-7</v>
      </c>
      <c r="I271" s="12">
        <f>2</f>
        <v>2</v>
      </c>
      <c r="J271" s="12">
        <f t="shared" si="41"/>
        <v>0.54999807428376091</v>
      </c>
      <c r="K271" s="12">
        <f t="shared" ref="K271:K334" si="44">SUMPRODUCT((D271*$B$6:$B$9^2+G271*$B$6:$B$9+J271-$C$6:$C$9)^2)/$F$5</f>
        <v>1.2500000003262563E-2</v>
      </c>
      <c r="L271" s="12">
        <f t="shared" si="42"/>
        <v>1.9292662832570695E-7</v>
      </c>
      <c r="M271" s="7" t="str">
        <f t="shared" si="43"/>
        <v>no</v>
      </c>
    </row>
    <row r="272" spans="1:13" x14ac:dyDescent="0.35">
      <c r="A272" s="7">
        <v>257</v>
      </c>
      <c r="B272" s="12">
        <f t="shared" ref="B272:B335" si="45">2/$F$5*($F$9*D271+$F$8*G271+$F$7*J271-$F$12)</f>
        <v>-2.9992378642873518E-6</v>
      </c>
      <c r="C272" s="12">
        <f t="shared" ref="C272:C335" si="46">2/$F$5*$F$9</f>
        <v>49</v>
      </c>
      <c r="D272" s="12">
        <f t="shared" ref="D272:D335" si="47">IF(M271="yes",D271,D271-B272/C272)</f>
        <v>0.74999825723478464</v>
      </c>
      <c r="E272" s="12">
        <f t="shared" ref="E272:E335" si="48">2/$F$5*($F$8*D272+$F$7*G271+$F$6*J271-$F$11)</f>
        <v>1.304664326795546E-6</v>
      </c>
      <c r="F272" s="12">
        <f t="shared" ref="F272:F335" si="49">2/$F$5*$F$7</f>
        <v>7</v>
      </c>
      <c r="G272" s="12">
        <f t="shared" ref="G272:G335" si="50">IF(M271="yes",G271,G271-E272/F272)</f>
        <v>5.0005306703227899E-2</v>
      </c>
      <c r="H272" s="12">
        <f t="shared" ref="H272:H335" si="51">2/$F$5*($F$7*D272+$F$6*G272+$F$5*J271-$F$10)</f>
        <v>-1.3067930204613276E-7</v>
      </c>
      <c r="I272" s="12">
        <f>2</f>
        <v>2</v>
      </c>
      <c r="J272" s="12">
        <f t="shared" ref="J272:J335" si="52">IF(M271="yes",J271,J271-H272/I272)</f>
        <v>0.54999813962341193</v>
      </c>
      <c r="K272" s="12">
        <f t="shared" si="44"/>
        <v>1.2500000003044949E-2</v>
      </c>
      <c r="L272" s="12">
        <f t="shared" ref="L272:L335" si="53">MAX(ABS(D272-D271),ABS(G272-G271),ABS(J272-J271))</f>
        <v>1.8638061811265816E-7</v>
      </c>
      <c r="M272" s="7" t="str">
        <f t="shared" ref="M272:M335" si="54">IF(OR(M271="yes",L272&lt;$I$5),"yes","no")</f>
        <v>no</v>
      </c>
    </row>
    <row r="273" spans="1:13" x14ac:dyDescent="0.35">
      <c r="A273" s="7">
        <v>258</v>
      </c>
      <c r="B273" s="12">
        <f t="shared" si="45"/>
        <v>-2.8974735641895677E-6</v>
      </c>
      <c r="C273" s="12">
        <f t="shared" si="46"/>
        <v>49</v>
      </c>
      <c r="D273" s="12">
        <f t="shared" si="47"/>
        <v>0.74999831636689818</v>
      </c>
      <c r="E273" s="12">
        <f t="shared" si="48"/>
        <v>1.2603969992142083E-6</v>
      </c>
      <c r="F273" s="12">
        <f t="shared" si="49"/>
        <v>7</v>
      </c>
      <c r="G273" s="12">
        <f t="shared" si="50"/>
        <v>5.0005126646513728E-2</v>
      </c>
      <c r="H273" s="12">
        <f t="shared" si="51"/>
        <v>-1.2624534839744683E-7</v>
      </c>
      <c r="I273" s="12">
        <f>2</f>
        <v>2</v>
      </c>
      <c r="J273" s="12">
        <f t="shared" si="52"/>
        <v>0.54999820274608613</v>
      </c>
      <c r="K273" s="12">
        <f t="shared" si="44"/>
        <v>1.2500000002841792E-2</v>
      </c>
      <c r="L273" s="12">
        <f t="shared" si="53"/>
        <v>1.8005671417048452E-7</v>
      </c>
      <c r="M273" s="7" t="str">
        <f t="shared" si="54"/>
        <v>no</v>
      </c>
    </row>
    <row r="274" spans="1:13" x14ac:dyDescent="0.35">
      <c r="A274" s="7">
        <v>259</v>
      </c>
      <c r="B274" s="12">
        <f t="shared" si="45"/>
        <v>-2.7991621394107824E-6</v>
      </c>
      <c r="C274" s="12">
        <f t="shared" si="46"/>
        <v>49</v>
      </c>
      <c r="D274" s="12">
        <f t="shared" si="47"/>
        <v>0.74999837349265608</v>
      </c>
      <c r="E274" s="12">
        <f t="shared" si="48"/>
        <v>1.2176316630529982E-6</v>
      </c>
      <c r="F274" s="12">
        <f t="shared" si="49"/>
        <v>7</v>
      </c>
      <c r="G274" s="12">
        <f t="shared" si="50"/>
        <v>5.0004952699133291E-2</v>
      </c>
      <c r="H274" s="12">
        <f t="shared" si="51"/>
        <v>-1.2196183529766813E-7</v>
      </c>
      <c r="I274" s="12">
        <f>2</f>
        <v>2</v>
      </c>
      <c r="J274" s="12">
        <f t="shared" si="52"/>
        <v>0.54999826372700378</v>
      </c>
      <c r="K274" s="12">
        <f t="shared" si="44"/>
        <v>1.2500000002652209E-2</v>
      </c>
      <c r="L274" s="12">
        <f t="shared" si="53"/>
        <v>1.7394738043713387E-7</v>
      </c>
      <c r="M274" s="7" t="str">
        <f t="shared" si="54"/>
        <v>no</v>
      </c>
    </row>
    <row r="275" spans="1:13" x14ac:dyDescent="0.35">
      <c r="A275" s="7">
        <v>260</v>
      </c>
      <c r="B275" s="12">
        <f t="shared" si="45"/>
        <v>-2.7041864214538691E-6</v>
      </c>
      <c r="C275" s="12">
        <f t="shared" si="46"/>
        <v>49</v>
      </c>
      <c r="D275" s="12">
        <f t="shared" si="47"/>
        <v>0.74999842868013411</v>
      </c>
      <c r="E275" s="12">
        <f t="shared" si="48"/>
        <v>1.1763173581869069E-6</v>
      </c>
      <c r="F275" s="12">
        <f t="shared" si="49"/>
        <v>7</v>
      </c>
      <c r="G275" s="12">
        <f t="shared" si="50"/>
        <v>5.0004784653796409E-2</v>
      </c>
      <c r="H275" s="12">
        <f t="shared" si="51"/>
        <v>-1.1782366371448916E-7</v>
      </c>
      <c r="I275" s="12">
        <f>2</f>
        <v>2</v>
      </c>
      <c r="J275" s="12">
        <f t="shared" si="52"/>
        <v>0.54999832263883563</v>
      </c>
      <c r="K275" s="12">
        <f t="shared" si="44"/>
        <v>1.2500000002475265E-2</v>
      </c>
      <c r="L275" s="12">
        <f t="shared" si="53"/>
        <v>1.680453368818613E-7</v>
      </c>
      <c r="M275" s="7" t="str">
        <f t="shared" si="54"/>
        <v>no</v>
      </c>
    </row>
    <row r="276" spans="1:13" x14ac:dyDescent="0.35">
      <c r="A276" s="7">
        <v>261</v>
      </c>
      <c r="B276" s="12">
        <f t="shared" si="45"/>
        <v>-2.6124332492827307E-6</v>
      </c>
      <c r="C276" s="12">
        <f t="shared" si="46"/>
        <v>49</v>
      </c>
      <c r="D276" s="12">
        <f t="shared" si="47"/>
        <v>0.74999848199509833</v>
      </c>
      <c r="E276" s="12">
        <f t="shared" si="48"/>
        <v>1.1364048528861304E-6</v>
      </c>
      <c r="F276" s="12">
        <f t="shared" si="49"/>
        <v>7</v>
      </c>
      <c r="G276" s="12">
        <f t="shared" si="50"/>
        <v>5.0004622310245994E-2</v>
      </c>
      <c r="H276" s="12">
        <f t="shared" si="51"/>
        <v>-1.1382590248132374E-7</v>
      </c>
      <c r="I276" s="12">
        <f>2</f>
        <v>2</v>
      </c>
      <c r="J276" s="12">
        <f t="shared" si="52"/>
        <v>0.54999837955178688</v>
      </c>
      <c r="K276" s="12">
        <f t="shared" si="44"/>
        <v>1.2500000002310142E-2</v>
      </c>
      <c r="L276" s="12">
        <f t="shared" si="53"/>
        <v>1.6234355041527815E-7</v>
      </c>
      <c r="M276" s="7" t="str">
        <f t="shared" si="54"/>
        <v>no</v>
      </c>
    </row>
    <row r="277" spans="1:13" x14ac:dyDescent="0.35">
      <c r="A277" s="7">
        <v>262</v>
      </c>
      <c r="B277" s="12">
        <f t="shared" si="45"/>
        <v>-2.5237932419486242E-6</v>
      </c>
      <c r="C277" s="12">
        <f t="shared" si="46"/>
        <v>49</v>
      </c>
      <c r="D277" s="12">
        <f t="shared" si="47"/>
        <v>0.74999853350108281</v>
      </c>
      <c r="E277" s="12">
        <f t="shared" si="48"/>
        <v>1.0978465745381527E-6</v>
      </c>
      <c r="F277" s="12">
        <f t="shared" si="49"/>
        <v>7</v>
      </c>
      <c r="G277" s="12">
        <f t="shared" si="50"/>
        <v>5.0004465475021062E-2</v>
      </c>
      <c r="H277" s="12">
        <f t="shared" si="51"/>
        <v>-1.0996378385641492E-7</v>
      </c>
      <c r="I277" s="12">
        <f>2</f>
        <v>2</v>
      </c>
      <c r="J277" s="12">
        <f t="shared" si="52"/>
        <v>0.5499984345336788</v>
      </c>
      <c r="K277" s="12">
        <f t="shared" si="44"/>
        <v>1.2500000002156082E-2</v>
      </c>
      <c r="L277" s="12">
        <f t="shared" si="53"/>
        <v>1.5683522493203927E-7</v>
      </c>
      <c r="M277" s="7" t="str">
        <f t="shared" si="54"/>
        <v>no</v>
      </c>
    </row>
    <row r="278" spans="1:13" x14ac:dyDescent="0.35">
      <c r="A278" s="7">
        <v>263</v>
      </c>
      <c r="B278" s="12">
        <f t="shared" si="45"/>
        <v>-2.4381608128010157E-6</v>
      </c>
      <c r="C278" s="12">
        <f t="shared" si="46"/>
        <v>49</v>
      </c>
      <c r="D278" s="12">
        <f t="shared" si="47"/>
        <v>0.74999858325946678</v>
      </c>
      <c r="E278" s="12">
        <f t="shared" si="48"/>
        <v>1.060596586555107E-6</v>
      </c>
      <c r="F278" s="12">
        <f t="shared" si="49"/>
        <v>7</v>
      </c>
      <c r="G278" s="12">
        <f t="shared" si="50"/>
        <v>5.0004313961222985E-2</v>
      </c>
      <c r="H278" s="12">
        <f t="shared" si="51"/>
        <v>-1.0623270618737024E-7</v>
      </c>
      <c r="I278" s="12">
        <f>2</f>
        <v>2</v>
      </c>
      <c r="J278" s="12">
        <f t="shared" si="52"/>
        <v>0.5499984876500319</v>
      </c>
      <c r="K278" s="12">
        <f t="shared" si="44"/>
        <v>1.2500000002012211E-2</v>
      </c>
      <c r="L278" s="12">
        <f t="shared" si="53"/>
        <v>1.5151379807731846E-7</v>
      </c>
      <c r="M278" s="7" t="str">
        <f t="shared" si="54"/>
        <v>no</v>
      </c>
    </row>
    <row r="279" spans="1:13" x14ac:dyDescent="0.35">
      <c r="A279" s="7">
        <v>264</v>
      </c>
      <c r="B279" s="12">
        <f t="shared" si="45"/>
        <v>-2.3554338923759133E-6</v>
      </c>
      <c r="C279" s="12">
        <f t="shared" si="46"/>
        <v>49</v>
      </c>
      <c r="D279" s="12">
        <f t="shared" si="47"/>
        <v>0.74999863132954625</v>
      </c>
      <c r="E279" s="12">
        <f t="shared" si="48"/>
        <v>1.0246104906741493E-6</v>
      </c>
      <c r="F279" s="12">
        <f t="shared" si="49"/>
        <v>7</v>
      </c>
      <c r="G279" s="12">
        <f t="shared" si="50"/>
        <v>5.0004167588295748E-2</v>
      </c>
      <c r="H279" s="12">
        <f t="shared" si="51"/>
        <v>-1.0262822591755594E-7</v>
      </c>
      <c r="I279" s="12">
        <f>2</f>
        <v>2</v>
      </c>
      <c r="J279" s="12">
        <f t="shared" si="52"/>
        <v>0.54999853896414486</v>
      </c>
      <c r="K279" s="12">
        <f t="shared" si="44"/>
        <v>1.2500000001878014E-2</v>
      </c>
      <c r="L279" s="12">
        <f t="shared" si="53"/>
        <v>1.4637292723718165E-7</v>
      </c>
      <c r="M279" s="7" t="str">
        <f t="shared" si="54"/>
        <v>no</v>
      </c>
    </row>
    <row r="280" spans="1:13" x14ac:dyDescent="0.35">
      <c r="A280" s="7">
        <v>265</v>
      </c>
      <c r="B280" s="12">
        <f t="shared" si="45"/>
        <v>-2.2755138928687302E-6</v>
      </c>
      <c r="C280" s="12">
        <f t="shared" si="46"/>
        <v>49</v>
      </c>
      <c r="D280" s="12">
        <f t="shared" si="47"/>
        <v>0.74999867776860529</v>
      </c>
      <c r="E280" s="12">
        <f t="shared" si="48"/>
        <v>9.8984540031210599E-7</v>
      </c>
      <c r="F280" s="12">
        <f t="shared" si="49"/>
        <v>7</v>
      </c>
      <c r="G280" s="12">
        <f t="shared" si="50"/>
        <v>5.0004026181809991E-2</v>
      </c>
      <c r="H280" s="12">
        <f t="shared" si="51"/>
        <v>-9.9146043375242243E-8</v>
      </c>
      <c r="I280" s="12">
        <f>2</f>
        <v>2</v>
      </c>
      <c r="J280" s="12">
        <f t="shared" si="52"/>
        <v>0.54999858853716654</v>
      </c>
      <c r="K280" s="12">
        <f t="shared" si="44"/>
        <v>1.2500000001752698E-2</v>
      </c>
      <c r="L280" s="12">
        <f t="shared" si="53"/>
        <v>1.4140648575688974E-7</v>
      </c>
      <c r="M280" s="7" t="str">
        <f t="shared" si="54"/>
        <v>no</v>
      </c>
    </row>
    <row r="281" spans="1:13" x14ac:dyDescent="0.35">
      <c r="A281" s="7">
        <v>266</v>
      </c>
      <c r="B281" s="12">
        <f t="shared" si="45"/>
        <v>-2.1983055944474472E-6</v>
      </c>
      <c r="C281" s="12">
        <f t="shared" si="46"/>
        <v>49</v>
      </c>
      <c r="D281" s="12">
        <f t="shared" si="47"/>
        <v>0.74999872263198475</v>
      </c>
      <c r="E281" s="12">
        <f t="shared" si="48"/>
        <v>9.5625989615655271E-7</v>
      </c>
      <c r="F281" s="12">
        <f t="shared" si="49"/>
        <v>7</v>
      </c>
      <c r="G281" s="12">
        <f t="shared" si="50"/>
        <v>5.0003889573253399E-2</v>
      </c>
      <c r="H281" s="12">
        <f t="shared" si="51"/>
        <v>-9.5782013431744417E-8</v>
      </c>
      <c r="I281" s="12">
        <f>2</f>
        <v>2</v>
      </c>
      <c r="J281" s="12">
        <f t="shared" si="52"/>
        <v>0.54999863642817326</v>
      </c>
      <c r="K281" s="12">
        <f t="shared" si="44"/>
        <v>1.2500000001635753E-2</v>
      </c>
      <c r="L281" s="12">
        <f t="shared" si="53"/>
        <v>1.366085565918107E-7</v>
      </c>
      <c r="M281" s="7" t="str">
        <f t="shared" si="54"/>
        <v>no</v>
      </c>
    </row>
    <row r="282" spans="1:13" x14ac:dyDescent="0.35">
      <c r="A282" s="7">
        <v>267</v>
      </c>
      <c r="B282" s="12">
        <f t="shared" si="45"/>
        <v>-2.1237169747223561E-6</v>
      </c>
      <c r="C282" s="12">
        <f t="shared" si="46"/>
        <v>49</v>
      </c>
      <c r="D282" s="12">
        <f t="shared" si="47"/>
        <v>0.74999876597314752</v>
      </c>
      <c r="E282" s="12">
        <f t="shared" si="48"/>
        <v>9.2381394978247044E-7</v>
      </c>
      <c r="F282" s="12">
        <f t="shared" si="49"/>
        <v>7</v>
      </c>
      <c r="G282" s="12">
        <f t="shared" si="50"/>
        <v>5.0003757599831999E-2</v>
      </c>
      <c r="H282" s="12">
        <f t="shared" si="51"/>
        <v>-9.2532125073319094E-8</v>
      </c>
      <c r="I282" s="12">
        <f>2</f>
        <v>2</v>
      </c>
      <c r="J282" s="12">
        <f t="shared" si="52"/>
        <v>0.5499986826942358</v>
      </c>
      <c r="K282" s="12">
        <f t="shared" si="44"/>
        <v>1.250000000152667E-2</v>
      </c>
      <c r="L282" s="12">
        <f t="shared" si="53"/>
        <v>1.3197342139947832E-7</v>
      </c>
      <c r="M282" s="7" t="str">
        <f t="shared" si="54"/>
        <v>no</v>
      </c>
    </row>
    <row r="283" spans="1:13" x14ac:dyDescent="0.35">
      <c r="A283" s="7">
        <v>268</v>
      </c>
      <c r="B283" s="12">
        <f t="shared" si="45"/>
        <v>-2.0516591447972132E-6</v>
      </c>
      <c r="C283" s="12">
        <f t="shared" si="46"/>
        <v>49</v>
      </c>
      <c r="D283" s="12">
        <f t="shared" si="47"/>
        <v>0.74999880784374229</v>
      </c>
      <c r="E283" s="12">
        <f t="shared" si="48"/>
        <v>8.9246889167782228E-7</v>
      </c>
      <c r="F283" s="12">
        <f t="shared" si="49"/>
        <v>7</v>
      </c>
      <c r="G283" s="12">
        <f t="shared" si="50"/>
        <v>5.0003630104276046E-2</v>
      </c>
      <c r="H283" s="12">
        <f t="shared" si="51"/>
        <v>-8.9392504065699541E-8</v>
      </c>
      <c r="I283" s="12">
        <f>2</f>
        <v>2</v>
      </c>
      <c r="J283" s="12">
        <f t="shared" si="52"/>
        <v>0.54999872739048783</v>
      </c>
      <c r="K283" s="12">
        <f t="shared" si="44"/>
        <v>1.2500000001424854E-2</v>
      </c>
      <c r="L283" s="12">
        <f t="shared" si="53"/>
        <v>1.2749555595298334E-7</v>
      </c>
      <c r="M283" s="7" t="str">
        <f t="shared" si="54"/>
        <v>no</v>
      </c>
    </row>
    <row r="284" spans="1:13" x14ac:dyDescent="0.35">
      <c r="A284" s="7">
        <v>269</v>
      </c>
      <c r="B284" s="12">
        <f t="shared" si="45"/>
        <v>-1.9820462426878294E-6</v>
      </c>
      <c r="C284" s="12">
        <f t="shared" si="46"/>
        <v>49</v>
      </c>
      <c r="D284" s="12">
        <f t="shared" si="47"/>
        <v>0.74999884829366559</v>
      </c>
      <c r="E284" s="12">
        <f t="shared" si="48"/>
        <v>8.6218737571641668E-7</v>
      </c>
      <c r="F284" s="12">
        <f t="shared" si="49"/>
        <v>7</v>
      </c>
      <c r="G284" s="12">
        <f t="shared" si="50"/>
        <v>5.0003506934650943E-2</v>
      </c>
      <c r="H284" s="12">
        <f t="shared" si="51"/>
        <v>-8.635941206591724E-8</v>
      </c>
      <c r="I284" s="12">
        <f>2</f>
        <v>2</v>
      </c>
      <c r="J284" s="12">
        <f t="shared" si="52"/>
        <v>0.54999877057019386</v>
      </c>
      <c r="K284" s="12">
        <f t="shared" si="44"/>
        <v>1.2500000001329784E-2</v>
      </c>
      <c r="L284" s="12">
        <f t="shared" si="53"/>
        <v>1.2316962510333651E-7</v>
      </c>
      <c r="M284" s="7" t="str">
        <f t="shared" si="54"/>
        <v>no</v>
      </c>
    </row>
    <row r="285" spans="1:13" x14ac:dyDescent="0.35">
      <c r="A285" s="7">
        <v>270</v>
      </c>
      <c r="B285" s="12">
        <f t="shared" si="45"/>
        <v>-1.9147953125298045E-6</v>
      </c>
      <c r="C285" s="12">
        <f t="shared" si="46"/>
        <v>49</v>
      </c>
      <c r="D285" s="12">
        <f t="shared" si="47"/>
        <v>0.74999888737112097</v>
      </c>
      <c r="E285" s="12">
        <f t="shared" si="48"/>
        <v>8.3293331698541806E-7</v>
      </c>
      <c r="F285" s="12">
        <f t="shared" si="49"/>
        <v>7</v>
      </c>
      <c r="G285" s="12">
        <f t="shared" si="50"/>
        <v>5.0003387944177087E-2</v>
      </c>
      <c r="H285" s="12">
        <f t="shared" si="51"/>
        <v>-8.3429234187804013E-8</v>
      </c>
      <c r="I285" s="12">
        <f>2</f>
        <v>2</v>
      </c>
      <c r="J285" s="12">
        <f t="shared" si="52"/>
        <v>0.54999881228481096</v>
      </c>
      <c r="K285" s="12">
        <f t="shared" si="44"/>
        <v>1.2500000001241031E-2</v>
      </c>
      <c r="L285" s="12">
        <f t="shared" si="53"/>
        <v>1.1899047385605099E-7</v>
      </c>
      <c r="M285" s="7" t="str">
        <f t="shared" si="54"/>
        <v>no</v>
      </c>
    </row>
    <row r="286" spans="1:13" x14ac:dyDescent="0.35">
      <c r="A286" s="7">
        <v>271</v>
      </c>
      <c r="B286" s="12">
        <f t="shared" si="45"/>
        <v>-1.8498262051025449E-6</v>
      </c>
      <c r="C286" s="12">
        <f t="shared" si="46"/>
        <v>49</v>
      </c>
      <c r="D286" s="12">
        <f t="shared" si="47"/>
        <v>0.74999892512267619</v>
      </c>
      <c r="E286" s="12">
        <f t="shared" si="48"/>
        <v>8.0467184382371215E-7</v>
      </c>
      <c r="F286" s="12">
        <f t="shared" si="49"/>
        <v>7</v>
      </c>
      <c r="G286" s="12">
        <f t="shared" si="50"/>
        <v>5.0003272991056544E-2</v>
      </c>
      <c r="H286" s="12">
        <f t="shared" si="51"/>
        <v>-8.059847456109992E-8</v>
      </c>
      <c r="I286" s="12">
        <f>2</f>
        <v>2</v>
      </c>
      <c r="J286" s="12">
        <f t="shared" si="52"/>
        <v>0.54999885258404824</v>
      </c>
      <c r="K286" s="12">
        <f t="shared" si="44"/>
        <v>1.2500000001158274E-2</v>
      </c>
      <c r="L286" s="12">
        <f t="shared" si="53"/>
        <v>1.1495312054327078E-7</v>
      </c>
      <c r="M286" s="7" t="str">
        <f t="shared" si="54"/>
        <v>no</v>
      </c>
    </row>
    <row r="287" spans="1:13" x14ac:dyDescent="0.35">
      <c r="A287" s="7">
        <v>272</v>
      </c>
      <c r="B287" s="12">
        <f t="shared" si="45"/>
        <v>-1.7870615067749895E-6</v>
      </c>
      <c r="C287" s="12">
        <f t="shared" si="46"/>
        <v>49</v>
      </c>
      <c r="D287" s="12">
        <f t="shared" si="47"/>
        <v>0.74999896159331914</v>
      </c>
      <c r="E287" s="12">
        <f t="shared" si="48"/>
        <v>7.7736928538740813E-7</v>
      </c>
      <c r="F287" s="12">
        <f t="shared" si="49"/>
        <v>7</v>
      </c>
      <c r="G287" s="12">
        <f t="shared" si="50"/>
        <v>5.0003161938301489E-2</v>
      </c>
      <c r="H287" s="12">
        <f t="shared" si="51"/>
        <v>-7.7863765213237457E-8</v>
      </c>
      <c r="I287" s="12">
        <f>2</f>
        <v>2</v>
      </c>
      <c r="J287" s="12">
        <f t="shared" si="52"/>
        <v>0.54999889151593084</v>
      </c>
      <c r="K287" s="12">
        <f t="shared" si="44"/>
        <v>1.2500000001081006E-2</v>
      </c>
      <c r="L287" s="12">
        <f t="shared" si="53"/>
        <v>1.1105275505435275E-7</v>
      </c>
      <c r="M287" s="7" t="str">
        <f t="shared" si="54"/>
        <v>no</v>
      </c>
    </row>
    <row r="288" spans="1:13" x14ac:dyDescent="0.35">
      <c r="A288" s="7">
        <v>273</v>
      </c>
      <c r="B288" s="12">
        <f t="shared" si="45"/>
        <v>-1.7264264258187723E-6</v>
      </c>
      <c r="C288" s="12">
        <f t="shared" si="46"/>
        <v>49</v>
      </c>
      <c r="D288" s="12">
        <f t="shared" si="47"/>
        <v>0.7499989968265115</v>
      </c>
      <c r="E288" s="12">
        <f t="shared" si="48"/>
        <v>7.5099310947734921E-7</v>
      </c>
      <c r="F288" s="12">
        <f t="shared" si="49"/>
        <v>7</v>
      </c>
      <c r="G288" s="12">
        <f t="shared" si="50"/>
        <v>5.0003054653571563E-2</v>
      </c>
      <c r="H288" s="12">
        <f t="shared" si="51"/>
        <v>-7.5221842976702646E-8</v>
      </c>
      <c r="I288" s="12">
        <f>2</f>
        <v>2</v>
      </c>
      <c r="J288" s="12">
        <f t="shared" si="52"/>
        <v>0.54999892912685233</v>
      </c>
      <c r="K288" s="12">
        <f t="shared" si="44"/>
        <v>1.2500000001008881E-2</v>
      </c>
      <c r="L288" s="12">
        <f t="shared" si="53"/>
        <v>1.0728472992632687E-7</v>
      </c>
      <c r="M288" s="7" t="str">
        <f t="shared" si="54"/>
        <v>no</v>
      </c>
    </row>
    <row r="289" spans="1:13" x14ac:dyDescent="0.35">
      <c r="A289" s="7">
        <v>274</v>
      </c>
      <c r="B289" s="12">
        <f t="shared" si="45"/>
        <v>-1.6678486858268116E-6</v>
      </c>
      <c r="C289" s="12">
        <f t="shared" si="46"/>
        <v>49</v>
      </c>
      <c r="D289" s="12">
        <f t="shared" si="47"/>
        <v>0.7499990308642398</v>
      </c>
      <c r="E289" s="12">
        <f t="shared" si="48"/>
        <v>7.2551187457747801E-7</v>
      </c>
      <c r="F289" s="12">
        <f t="shared" si="49"/>
        <v>7</v>
      </c>
      <c r="G289" s="12">
        <f t="shared" si="50"/>
        <v>5.0002951009018054E-2</v>
      </c>
      <c r="H289" s="12">
        <f t="shared" si="51"/>
        <v>-7.266956281171133E-8</v>
      </c>
      <c r="I289" s="12">
        <f>2</f>
        <v>2</v>
      </c>
      <c r="J289" s="12">
        <f t="shared" si="52"/>
        <v>0.54999896546163374</v>
      </c>
      <c r="K289" s="12">
        <f t="shared" si="44"/>
        <v>1.2500000000941612E-2</v>
      </c>
      <c r="L289" s="12">
        <f t="shared" si="53"/>
        <v>1.0364455350908575E-7</v>
      </c>
      <c r="M289" s="7" t="str">
        <f t="shared" si="54"/>
        <v>no</v>
      </c>
    </row>
    <row r="290" spans="1:13" x14ac:dyDescent="0.35">
      <c r="A290" s="7">
        <v>275</v>
      </c>
      <c r="B290" s="12">
        <f t="shared" si="45"/>
        <v>-1.6112584901861737E-6</v>
      </c>
      <c r="C290" s="12">
        <f t="shared" si="46"/>
        <v>49</v>
      </c>
      <c r="D290" s="12">
        <f t="shared" si="47"/>
        <v>0.74999906374706615</v>
      </c>
      <c r="E290" s="12">
        <f t="shared" si="48"/>
        <v>7.0089521742033867E-7</v>
      </c>
      <c r="F290" s="12">
        <f t="shared" si="49"/>
        <v>7</v>
      </c>
      <c r="G290" s="12">
        <f t="shared" si="50"/>
        <v>5.0002850881129851E-2</v>
      </c>
      <c r="H290" s="12">
        <f t="shared" si="51"/>
        <v>-7.0203880042640776E-8</v>
      </c>
      <c r="I290" s="12">
        <f>2</f>
        <v>2</v>
      </c>
      <c r="J290" s="12">
        <f t="shared" si="52"/>
        <v>0.54999900056357376</v>
      </c>
      <c r="K290" s="12">
        <f t="shared" si="44"/>
        <v>1.2500000000878793E-2</v>
      </c>
      <c r="L290" s="12">
        <f t="shared" si="53"/>
        <v>1.0012788820290552E-7</v>
      </c>
      <c r="M290" s="7" t="str">
        <f t="shared" si="54"/>
        <v>no</v>
      </c>
    </row>
    <row r="291" spans="1:13" x14ac:dyDescent="0.35">
      <c r="A291" s="7">
        <v>276</v>
      </c>
      <c r="B291" s="12">
        <f t="shared" si="45"/>
        <v>-1.5565884012858078E-6</v>
      </c>
      <c r="C291" s="12">
        <f t="shared" si="46"/>
        <v>49</v>
      </c>
      <c r="D291" s="12">
        <f t="shared" si="47"/>
        <v>0.74999909551417643</v>
      </c>
      <c r="E291" s="12">
        <f t="shared" si="48"/>
        <v>6.77113806801799E-7</v>
      </c>
      <c r="F291" s="12">
        <f t="shared" si="49"/>
        <v>7</v>
      </c>
      <c r="G291" s="12">
        <f t="shared" si="50"/>
        <v>5.0002754150586019E-2</v>
      </c>
      <c r="H291" s="12">
        <f t="shared" si="51"/>
        <v>-6.7821860127992295E-8</v>
      </c>
      <c r="I291" s="12">
        <f>2</f>
        <v>2</v>
      </c>
      <c r="J291" s="12">
        <f t="shared" si="52"/>
        <v>0.54999903447450382</v>
      </c>
      <c r="K291" s="12">
        <f t="shared" si="44"/>
        <v>1.2500000000820164E-2</v>
      </c>
      <c r="L291" s="12">
        <f t="shared" si="53"/>
        <v>9.673054383180224E-8</v>
      </c>
      <c r="M291" s="7" t="str">
        <f t="shared" si="54"/>
        <v>yes</v>
      </c>
    </row>
    <row r="292" spans="1:13" x14ac:dyDescent="0.35">
      <c r="A292" s="7">
        <v>277</v>
      </c>
      <c r="B292" s="12">
        <f t="shared" si="45"/>
        <v>-1.5037732765676992E-6</v>
      </c>
      <c r="C292" s="12">
        <f t="shared" si="46"/>
        <v>49</v>
      </c>
      <c r="D292" s="12">
        <f t="shared" si="47"/>
        <v>0.74999909551417643</v>
      </c>
      <c r="E292" s="12">
        <f t="shared" si="48"/>
        <v>1.0173279108016686E-7</v>
      </c>
      <c r="F292" s="12">
        <f t="shared" si="49"/>
        <v>7</v>
      </c>
      <c r="G292" s="12">
        <f t="shared" si="50"/>
        <v>5.0002754150586019E-2</v>
      </c>
      <c r="H292" s="12">
        <f t="shared" si="51"/>
        <v>0</v>
      </c>
      <c r="I292" s="12">
        <f>2</f>
        <v>2</v>
      </c>
      <c r="J292" s="12">
        <f t="shared" si="52"/>
        <v>0.54999903447450382</v>
      </c>
      <c r="K292" s="12">
        <f t="shared" si="44"/>
        <v>1.2500000000820164E-2</v>
      </c>
      <c r="L292" s="12">
        <f t="shared" si="53"/>
        <v>0</v>
      </c>
      <c r="M292" s="7" t="str">
        <f t="shared" si="54"/>
        <v>yes</v>
      </c>
    </row>
    <row r="293" spans="1:13" x14ac:dyDescent="0.35">
      <c r="A293" s="7">
        <v>278</v>
      </c>
      <c r="B293" s="12">
        <f t="shared" si="45"/>
        <v>-1.5037732765676992E-6</v>
      </c>
      <c r="C293" s="12">
        <f t="shared" si="46"/>
        <v>49</v>
      </c>
      <c r="D293" s="12">
        <f t="shared" si="47"/>
        <v>0.74999909551417643</v>
      </c>
      <c r="E293" s="12">
        <f t="shared" si="48"/>
        <v>1.0173279108016686E-7</v>
      </c>
      <c r="F293" s="12">
        <f t="shared" si="49"/>
        <v>7</v>
      </c>
      <c r="G293" s="12">
        <f t="shared" si="50"/>
        <v>5.0002754150586019E-2</v>
      </c>
      <c r="H293" s="12">
        <f t="shared" si="51"/>
        <v>0</v>
      </c>
      <c r="I293" s="12">
        <f>2</f>
        <v>2</v>
      </c>
      <c r="J293" s="12">
        <f t="shared" si="52"/>
        <v>0.54999903447450382</v>
      </c>
      <c r="K293" s="12">
        <f t="shared" si="44"/>
        <v>1.2500000000820164E-2</v>
      </c>
      <c r="L293" s="12">
        <f t="shared" si="53"/>
        <v>0</v>
      </c>
      <c r="M293" s="7" t="str">
        <f t="shared" si="54"/>
        <v>yes</v>
      </c>
    </row>
    <row r="294" spans="1:13" x14ac:dyDescent="0.35">
      <c r="A294" s="7">
        <v>279</v>
      </c>
      <c r="B294" s="12">
        <f t="shared" si="45"/>
        <v>-1.5037732765676992E-6</v>
      </c>
      <c r="C294" s="12">
        <f t="shared" si="46"/>
        <v>49</v>
      </c>
      <c r="D294" s="12">
        <f t="shared" si="47"/>
        <v>0.74999909551417643</v>
      </c>
      <c r="E294" s="12">
        <f t="shared" si="48"/>
        <v>1.0173279108016686E-7</v>
      </c>
      <c r="F294" s="12">
        <f t="shared" si="49"/>
        <v>7</v>
      </c>
      <c r="G294" s="12">
        <f t="shared" si="50"/>
        <v>5.0002754150586019E-2</v>
      </c>
      <c r="H294" s="12">
        <f t="shared" si="51"/>
        <v>0</v>
      </c>
      <c r="I294" s="12">
        <f>2</f>
        <v>2</v>
      </c>
      <c r="J294" s="12">
        <f t="shared" si="52"/>
        <v>0.54999903447450382</v>
      </c>
      <c r="K294" s="12">
        <f t="shared" si="44"/>
        <v>1.2500000000820164E-2</v>
      </c>
      <c r="L294" s="12">
        <f t="shared" si="53"/>
        <v>0</v>
      </c>
      <c r="M294" s="7" t="str">
        <f t="shared" si="54"/>
        <v>yes</v>
      </c>
    </row>
    <row r="295" spans="1:13" x14ac:dyDescent="0.35">
      <c r="A295" s="7">
        <v>280</v>
      </c>
      <c r="B295" s="12">
        <f t="shared" si="45"/>
        <v>-1.5037732765676992E-6</v>
      </c>
      <c r="C295" s="12">
        <f t="shared" si="46"/>
        <v>49</v>
      </c>
      <c r="D295" s="12">
        <f t="shared" si="47"/>
        <v>0.74999909551417643</v>
      </c>
      <c r="E295" s="12">
        <f t="shared" si="48"/>
        <v>1.0173279108016686E-7</v>
      </c>
      <c r="F295" s="12">
        <f t="shared" si="49"/>
        <v>7</v>
      </c>
      <c r="G295" s="12">
        <f t="shared" si="50"/>
        <v>5.0002754150586019E-2</v>
      </c>
      <c r="H295" s="12">
        <f t="shared" si="51"/>
        <v>0</v>
      </c>
      <c r="I295" s="12">
        <f>2</f>
        <v>2</v>
      </c>
      <c r="J295" s="12">
        <f t="shared" si="52"/>
        <v>0.54999903447450382</v>
      </c>
      <c r="K295" s="12">
        <f t="shared" si="44"/>
        <v>1.2500000000820164E-2</v>
      </c>
      <c r="L295" s="12">
        <f t="shared" si="53"/>
        <v>0</v>
      </c>
      <c r="M295" s="7" t="str">
        <f t="shared" si="54"/>
        <v>yes</v>
      </c>
    </row>
    <row r="296" spans="1:13" x14ac:dyDescent="0.35">
      <c r="A296" s="7">
        <v>281</v>
      </c>
      <c r="B296" s="12">
        <f t="shared" si="45"/>
        <v>-1.5037732765676992E-6</v>
      </c>
      <c r="C296" s="12">
        <f t="shared" si="46"/>
        <v>49</v>
      </c>
      <c r="D296" s="12">
        <f t="shared" si="47"/>
        <v>0.74999909551417643</v>
      </c>
      <c r="E296" s="12">
        <f t="shared" si="48"/>
        <v>1.0173279108016686E-7</v>
      </c>
      <c r="F296" s="12">
        <f t="shared" si="49"/>
        <v>7</v>
      </c>
      <c r="G296" s="12">
        <f t="shared" si="50"/>
        <v>5.0002754150586019E-2</v>
      </c>
      <c r="H296" s="12">
        <f t="shared" si="51"/>
        <v>0</v>
      </c>
      <c r="I296" s="12">
        <f>2</f>
        <v>2</v>
      </c>
      <c r="J296" s="12">
        <f t="shared" si="52"/>
        <v>0.54999903447450382</v>
      </c>
      <c r="K296" s="12">
        <f t="shared" si="44"/>
        <v>1.2500000000820164E-2</v>
      </c>
      <c r="L296" s="12">
        <f t="shared" si="53"/>
        <v>0</v>
      </c>
      <c r="M296" s="7" t="str">
        <f t="shared" si="54"/>
        <v>yes</v>
      </c>
    </row>
    <row r="297" spans="1:13" x14ac:dyDescent="0.35">
      <c r="A297" s="7">
        <v>282</v>
      </c>
      <c r="B297" s="12">
        <f t="shared" si="45"/>
        <v>-1.5037732765676992E-6</v>
      </c>
      <c r="C297" s="12">
        <f t="shared" si="46"/>
        <v>49</v>
      </c>
      <c r="D297" s="12">
        <f t="shared" si="47"/>
        <v>0.74999909551417643</v>
      </c>
      <c r="E297" s="12">
        <f t="shared" si="48"/>
        <v>1.0173279108016686E-7</v>
      </c>
      <c r="F297" s="12">
        <f t="shared" si="49"/>
        <v>7</v>
      </c>
      <c r="G297" s="12">
        <f t="shared" si="50"/>
        <v>5.0002754150586019E-2</v>
      </c>
      <c r="H297" s="12">
        <f t="shared" si="51"/>
        <v>0</v>
      </c>
      <c r="I297" s="12">
        <f>2</f>
        <v>2</v>
      </c>
      <c r="J297" s="12">
        <f t="shared" si="52"/>
        <v>0.54999903447450382</v>
      </c>
      <c r="K297" s="12">
        <f t="shared" si="44"/>
        <v>1.2500000000820164E-2</v>
      </c>
      <c r="L297" s="12">
        <f t="shared" si="53"/>
        <v>0</v>
      </c>
      <c r="M297" s="7" t="str">
        <f t="shared" si="54"/>
        <v>yes</v>
      </c>
    </row>
    <row r="298" spans="1:13" x14ac:dyDescent="0.35">
      <c r="A298" s="7">
        <v>283</v>
      </c>
      <c r="B298" s="12">
        <f t="shared" si="45"/>
        <v>-1.5037732765676992E-6</v>
      </c>
      <c r="C298" s="12">
        <f t="shared" si="46"/>
        <v>49</v>
      </c>
      <c r="D298" s="12">
        <f t="shared" si="47"/>
        <v>0.74999909551417643</v>
      </c>
      <c r="E298" s="12">
        <f t="shared" si="48"/>
        <v>1.0173279108016686E-7</v>
      </c>
      <c r="F298" s="12">
        <f t="shared" si="49"/>
        <v>7</v>
      </c>
      <c r="G298" s="12">
        <f t="shared" si="50"/>
        <v>5.0002754150586019E-2</v>
      </c>
      <c r="H298" s="12">
        <f t="shared" si="51"/>
        <v>0</v>
      </c>
      <c r="I298" s="12">
        <f>2</f>
        <v>2</v>
      </c>
      <c r="J298" s="12">
        <f t="shared" si="52"/>
        <v>0.54999903447450382</v>
      </c>
      <c r="K298" s="12">
        <f t="shared" si="44"/>
        <v>1.2500000000820164E-2</v>
      </c>
      <c r="L298" s="12">
        <f t="shared" si="53"/>
        <v>0</v>
      </c>
      <c r="M298" s="7" t="str">
        <f t="shared" si="54"/>
        <v>yes</v>
      </c>
    </row>
    <row r="299" spans="1:13" x14ac:dyDescent="0.35">
      <c r="A299" s="7">
        <v>284</v>
      </c>
      <c r="B299" s="12">
        <f t="shared" si="45"/>
        <v>-1.5037732765676992E-6</v>
      </c>
      <c r="C299" s="12">
        <f t="shared" si="46"/>
        <v>49</v>
      </c>
      <c r="D299" s="12">
        <f t="shared" si="47"/>
        <v>0.74999909551417643</v>
      </c>
      <c r="E299" s="12">
        <f t="shared" si="48"/>
        <v>1.0173279108016686E-7</v>
      </c>
      <c r="F299" s="12">
        <f t="shared" si="49"/>
        <v>7</v>
      </c>
      <c r="G299" s="12">
        <f t="shared" si="50"/>
        <v>5.0002754150586019E-2</v>
      </c>
      <c r="H299" s="12">
        <f t="shared" si="51"/>
        <v>0</v>
      </c>
      <c r="I299" s="12">
        <f>2</f>
        <v>2</v>
      </c>
      <c r="J299" s="12">
        <f t="shared" si="52"/>
        <v>0.54999903447450382</v>
      </c>
      <c r="K299" s="12">
        <f t="shared" si="44"/>
        <v>1.2500000000820164E-2</v>
      </c>
      <c r="L299" s="12">
        <f t="shared" si="53"/>
        <v>0</v>
      </c>
      <c r="M299" s="7" t="str">
        <f t="shared" si="54"/>
        <v>yes</v>
      </c>
    </row>
    <row r="300" spans="1:13" x14ac:dyDescent="0.35">
      <c r="A300" s="7">
        <v>285</v>
      </c>
      <c r="B300" s="12">
        <f t="shared" si="45"/>
        <v>-1.5037732765676992E-6</v>
      </c>
      <c r="C300" s="12">
        <f t="shared" si="46"/>
        <v>49</v>
      </c>
      <c r="D300" s="12">
        <f t="shared" si="47"/>
        <v>0.74999909551417643</v>
      </c>
      <c r="E300" s="12">
        <f t="shared" si="48"/>
        <v>1.0173279108016686E-7</v>
      </c>
      <c r="F300" s="12">
        <f t="shared" si="49"/>
        <v>7</v>
      </c>
      <c r="G300" s="12">
        <f t="shared" si="50"/>
        <v>5.0002754150586019E-2</v>
      </c>
      <c r="H300" s="12">
        <f t="shared" si="51"/>
        <v>0</v>
      </c>
      <c r="I300" s="12">
        <f>2</f>
        <v>2</v>
      </c>
      <c r="J300" s="12">
        <f t="shared" si="52"/>
        <v>0.54999903447450382</v>
      </c>
      <c r="K300" s="12">
        <f t="shared" si="44"/>
        <v>1.2500000000820164E-2</v>
      </c>
      <c r="L300" s="12">
        <f t="shared" si="53"/>
        <v>0</v>
      </c>
      <c r="M300" s="7" t="str">
        <f t="shared" si="54"/>
        <v>yes</v>
      </c>
    </row>
    <row r="301" spans="1:13" x14ac:dyDescent="0.35">
      <c r="A301" s="7">
        <v>286</v>
      </c>
      <c r="B301" s="12">
        <f t="shared" si="45"/>
        <v>-1.5037732765676992E-6</v>
      </c>
      <c r="C301" s="12">
        <f t="shared" si="46"/>
        <v>49</v>
      </c>
      <c r="D301" s="12">
        <f t="shared" si="47"/>
        <v>0.74999909551417643</v>
      </c>
      <c r="E301" s="12">
        <f t="shared" si="48"/>
        <v>1.0173279108016686E-7</v>
      </c>
      <c r="F301" s="12">
        <f t="shared" si="49"/>
        <v>7</v>
      </c>
      <c r="G301" s="12">
        <f t="shared" si="50"/>
        <v>5.0002754150586019E-2</v>
      </c>
      <c r="H301" s="12">
        <f t="shared" si="51"/>
        <v>0</v>
      </c>
      <c r="I301" s="12">
        <f>2</f>
        <v>2</v>
      </c>
      <c r="J301" s="12">
        <f t="shared" si="52"/>
        <v>0.54999903447450382</v>
      </c>
      <c r="K301" s="12">
        <f t="shared" si="44"/>
        <v>1.2500000000820164E-2</v>
      </c>
      <c r="L301" s="12">
        <f t="shared" si="53"/>
        <v>0</v>
      </c>
      <c r="M301" s="7" t="str">
        <f t="shared" si="54"/>
        <v>yes</v>
      </c>
    </row>
    <row r="302" spans="1:13" x14ac:dyDescent="0.35">
      <c r="A302" s="7">
        <v>287</v>
      </c>
      <c r="B302" s="12">
        <f t="shared" si="45"/>
        <v>-1.5037732765676992E-6</v>
      </c>
      <c r="C302" s="12">
        <f t="shared" si="46"/>
        <v>49</v>
      </c>
      <c r="D302" s="12">
        <f t="shared" si="47"/>
        <v>0.74999909551417643</v>
      </c>
      <c r="E302" s="12">
        <f t="shared" si="48"/>
        <v>1.0173279108016686E-7</v>
      </c>
      <c r="F302" s="12">
        <f t="shared" si="49"/>
        <v>7</v>
      </c>
      <c r="G302" s="12">
        <f t="shared" si="50"/>
        <v>5.0002754150586019E-2</v>
      </c>
      <c r="H302" s="12">
        <f t="shared" si="51"/>
        <v>0</v>
      </c>
      <c r="I302" s="12">
        <f>2</f>
        <v>2</v>
      </c>
      <c r="J302" s="12">
        <f t="shared" si="52"/>
        <v>0.54999903447450382</v>
      </c>
      <c r="K302" s="12">
        <f t="shared" si="44"/>
        <v>1.2500000000820164E-2</v>
      </c>
      <c r="L302" s="12">
        <f t="shared" si="53"/>
        <v>0</v>
      </c>
      <c r="M302" s="7" t="str">
        <f t="shared" si="54"/>
        <v>yes</v>
      </c>
    </row>
    <row r="303" spans="1:13" x14ac:dyDescent="0.35">
      <c r="A303" s="7">
        <v>288</v>
      </c>
      <c r="B303" s="12">
        <f t="shared" si="45"/>
        <v>-1.5037732765676992E-6</v>
      </c>
      <c r="C303" s="12">
        <f t="shared" si="46"/>
        <v>49</v>
      </c>
      <c r="D303" s="12">
        <f t="shared" si="47"/>
        <v>0.74999909551417643</v>
      </c>
      <c r="E303" s="12">
        <f t="shared" si="48"/>
        <v>1.0173279108016686E-7</v>
      </c>
      <c r="F303" s="12">
        <f t="shared" si="49"/>
        <v>7</v>
      </c>
      <c r="G303" s="12">
        <f t="shared" si="50"/>
        <v>5.0002754150586019E-2</v>
      </c>
      <c r="H303" s="12">
        <f t="shared" si="51"/>
        <v>0</v>
      </c>
      <c r="I303" s="12">
        <f>2</f>
        <v>2</v>
      </c>
      <c r="J303" s="12">
        <f t="shared" si="52"/>
        <v>0.54999903447450382</v>
      </c>
      <c r="K303" s="12">
        <f t="shared" si="44"/>
        <v>1.2500000000820164E-2</v>
      </c>
      <c r="L303" s="12">
        <f t="shared" si="53"/>
        <v>0</v>
      </c>
      <c r="M303" s="7" t="str">
        <f t="shared" si="54"/>
        <v>yes</v>
      </c>
    </row>
    <row r="304" spans="1:13" x14ac:dyDescent="0.35">
      <c r="A304" s="7">
        <v>289</v>
      </c>
      <c r="B304" s="12">
        <f t="shared" si="45"/>
        <v>-1.5037732765676992E-6</v>
      </c>
      <c r="C304" s="12">
        <f t="shared" si="46"/>
        <v>49</v>
      </c>
      <c r="D304" s="12">
        <f t="shared" si="47"/>
        <v>0.74999909551417643</v>
      </c>
      <c r="E304" s="12">
        <f t="shared" si="48"/>
        <v>1.0173279108016686E-7</v>
      </c>
      <c r="F304" s="12">
        <f t="shared" si="49"/>
        <v>7</v>
      </c>
      <c r="G304" s="12">
        <f t="shared" si="50"/>
        <v>5.0002754150586019E-2</v>
      </c>
      <c r="H304" s="12">
        <f t="shared" si="51"/>
        <v>0</v>
      </c>
      <c r="I304" s="12">
        <f>2</f>
        <v>2</v>
      </c>
      <c r="J304" s="12">
        <f t="shared" si="52"/>
        <v>0.54999903447450382</v>
      </c>
      <c r="K304" s="12">
        <f t="shared" si="44"/>
        <v>1.2500000000820164E-2</v>
      </c>
      <c r="L304" s="12">
        <f t="shared" si="53"/>
        <v>0</v>
      </c>
      <c r="M304" s="7" t="str">
        <f t="shared" si="54"/>
        <v>yes</v>
      </c>
    </row>
    <row r="305" spans="1:13" x14ac:dyDescent="0.35">
      <c r="A305" s="7">
        <v>290</v>
      </c>
      <c r="B305" s="12">
        <f t="shared" si="45"/>
        <v>-1.5037732765676992E-6</v>
      </c>
      <c r="C305" s="12">
        <f t="shared" si="46"/>
        <v>49</v>
      </c>
      <c r="D305" s="12">
        <f t="shared" si="47"/>
        <v>0.74999909551417643</v>
      </c>
      <c r="E305" s="12">
        <f t="shared" si="48"/>
        <v>1.0173279108016686E-7</v>
      </c>
      <c r="F305" s="12">
        <f t="shared" si="49"/>
        <v>7</v>
      </c>
      <c r="G305" s="12">
        <f t="shared" si="50"/>
        <v>5.0002754150586019E-2</v>
      </c>
      <c r="H305" s="12">
        <f t="shared" si="51"/>
        <v>0</v>
      </c>
      <c r="I305" s="12">
        <f>2</f>
        <v>2</v>
      </c>
      <c r="J305" s="12">
        <f t="shared" si="52"/>
        <v>0.54999903447450382</v>
      </c>
      <c r="K305" s="12">
        <f t="shared" si="44"/>
        <v>1.2500000000820164E-2</v>
      </c>
      <c r="L305" s="12">
        <f t="shared" si="53"/>
        <v>0</v>
      </c>
      <c r="M305" s="7" t="str">
        <f t="shared" si="54"/>
        <v>yes</v>
      </c>
    </row>
    <row r="306" spans="1:13" x14ac:dyDescent="0.35">
      <c r="A306" s="7">
        <v>291</v>
      </c>
      <c r="B306" s="12">
        <f t="shared" si="45"/>
        <v>-1.5037732765676992E-6</v>
      </c>
      <c r="C306" s="12">
        <f t="shared" si="46"/>
        <v>49</v>
      </c>
      <c r="D306" s="12">
        <f t="shared" si="47"/>
        <v>0.74999909551417643</v>
      </c>
      <c r="E306" s="12">
        <f t="shared" si="48"/>
        <v>1.0173279108016686E-7</v>
      </c>
      <c r="F306" s="12">
        <f t="shared" si="49"/>
        <v>7</v>
      </c>
      <c r="G306" s="12">
        <f t="shared" si="50"/>
        <v>5.0002754150586019E-2</v>
      </c>
      <c r="H306" s="12">
        <f t="shared" si="51"/>
        <v>0</v>
      </c>
      <c r="I306" s="12">
        <f>2</f>
        <v>2</v>
      </c>
      <c r="J306" s="12">
        <f t="shared" si="52"/>
        <v>0.54999903447450382</v>
      </c>
      <c r="K306" s="12">
        <f t="shared" si="44"/>
        <v>1.2500000000820164E-2</v>
      </c>
      <c r="L306" s="12">
        <f t="shared" si="53"/>
        <v>0</v>
      </c>
      <c r="M306" s="7" t="str">
        <f t="shared" si="54"/>
        <v>yes</v>
      </c>
    </row>
    <row r="307" spans="1:13" x14ac:dyDescent="0.35">
      <c r="A307" s="7">
        <v>292</v>
      </c>
      <c r="B307" s="12">
        <f t="shared" si="45"/>
        <v>-1.5037732765676992E-6</v>
      </c>
      <c r="C307" s="12">
        <f t="shared" si="46"/>
        <v>49</v>
      </c>
      <c r="D307" s="12">
        <f t="shared" si="47"/>
        <v>0.74999909551417643</v>
      </c>
      <c r="E307" s="12">
        <f t="shared" si="48"/>
        <v>1.0173279108016686E-7</v>
      </c>
      <c r="F307" s="12">
        <f t="shared" si="49"/>
        <v>7</v>
      </c>
      <c r="G307" s="12">
        <f t="shared" si="50"/>
        <v>5.0002754150586019E-2</v>
      </c>
      <c r="H307" s="12">
        <f t="shared" si="51"/>
        <v>0</v>
      </c>
      <c r="I307" s="12">
        <f>2</f>
        <v>2</v>
      </c>
      <c r="J307" s="12">
        <f t="shared" si="52"/>
        <v>0.54999903447450382</v>
      </c>
      <c r="K307" s="12">
        <f t="shared" si="44"/>
        <v>1.2500000000820164E-2</v>
      </c>
      <c r="L307" s="12">
        <f t="shared" si="53"/>
        <v>0</v>
      </c>
      <c r="M307" s="7" t="str">
        <f t="shared" si="54"/>
        <v>yes</v>
      </c>
    </row>
    <row r="308" spans="1:13" x14ac:dyDescent="0.35">
      <c r="A308" s="7">
        <v>293</v>
      </c>
      <c r="B308" s="12">
        <f t="shared" si="45"/>
        <v>-1.5037732765676992E-6</v>
      </c>
      <c r="C308" s="12">
        <f t="shared" si="46"/>
        <v>49</v>
      </c>
      <c r="D308" s="12">
        <f t="shared" si="47"/>
        <v>0.74999909551417643</v>
      </c>
      <c r="E308" s="12">
        <f t="shared" si="48"/>
        <v>1.0173279108016686E-7</v>
      </c>
      <c r="F308" s="12">
        <f t="shared" si="49"/>
        <v>7</v>
      </c>
      <c r="G308" s="12">
        <f t="shared" si="50"/>
        <v>5.0002754150586019E-2</v>
      </c>
      <c r="H308" s="12">
        <f t="shared" si="51"/>
        <v>0</v>
      </c>
      <c r="I308" s="12">
        <f>2</f>
        <v>2</v>
      </c>
      <c r="J308" s="12">
        <f t="shared" si="52"/>
        <v>0.54999903447450382</v>
      </c>
      <c r="K308" s="12">
        <f t="shared" si="44"/>
        <v>1.2500000000820164E-2</v>
      </c>
      <c r="L308" s="12">
        <f t="shared" si="53"/>
        <v>0</v>
      </c>
      <c r="M308" s="7" t="str">
        <f t="shared" si="54"/>
        <v>yes</v>
      </c>
    </row>
    <row r="309" spans="1:13" x14ac:dyDescent="0.35">
      <c r="A309" s="7">
        <v>294</v>
      </c>
      <c r="B309" s="12">
        <f t="shared" si="45"/>
        <v>-1.5037732765676992E-6</v>
      </c>
      <c r="C309" s="12">
        <f t="shared" si="46"/>
        <v>49</v>
      </c>
      <c r="D309" s="12">
        <f t="shared" si="47"/>
        <v>0.74999909551417643</v>
      </c>
      <c r="E309" s="12">
        <f t="shared" si="48"/>
        <v>1.0173279108016686E-7</v>
      </c>
      <c r="F309" s="12">
        <f t="shared" si="49"/>
        <v>7</v>
      </c>
      <c r="G309" s="12">
        <f t="shared" si="50"/>
        <v>5.0002754150586019E-2</v>
      </c>
      <c r="H309" s="12">
        <f t="shared" si="51"/>
        <v>0</v>
      </c>
      <c r="I309" s="12">
        <f>2</f>
        <v>2</v>
      </c>
      <c r="J309" s="12">
        <f t="shared" si="52"/>
        <v>0.54999903447450382</v>
      </c>
      <c r="K309" s="12">
        <f t="shared" si="44"/>
        <v>1.2500000000820164E-2</v>
      </c>
      <c r="L309" s="12">
        <f t="shared" si="53"/>
        <v>0</v>
      </c>
      <c r="M309" s="7" t="str">
        <f t="shared" si="54"/>
        <v>yes</v>
      </c>
    </row>
    <row r="310" spans="1:13" x14ac:dyDescent="0.35">
      <c r="A310" s="7">
        <v>295</v>
      </c>
      <c r="B310" s="12">
        <f t="shared" si="45"/>
        <v>-1.5037732765676992E-6</v>
      </c>
      <c r="C310" s="12">
        <f t="shared" si="46"/>
        <v>49</v>
      </c>
      <c r="D310" s="12">
        <f t="shared" si="47"/>
        <v>0.74999909551417643</v>
      </c>
      <c r="E310" s="12">
        <f t="shared" si="48"/>
        <v>1.0173279108016686E-7</v>
      </c>
      <c r="F310" s="12">
        <f t="shared" si="49"/>
        <v>7</v>
      </c>
      <c r="G310" s="12">
        <f t="shared" si="50"/>
        <v>5.0002754150586019E-2</v>
      </c>
      <c r="H310" s="12">
        <f t="shared" si="51"/>
        <v>0</v>
      </c>
      <c r="I310" s="12">
        <f>2</f>
        <v>2</v>
      </c>
      <c r="J310" s="12">
        <f t="shared" si="52"/>
        <v>0.54999903447450382</v>
      </c>
      <c r="K310" s="12">
        <f t="shared" si="44"/>
        <v>1.2500000000820164E-2</v>
      </c>
      <c r="L310" s="12">
        <f t="shared" si="53"/>
        <v>0</v>
      </c>
      <c r="M310" s="7" t="str">
        <f t="shared" si="54"/>
        <v>yes</v>
      </c>
    </row>
    <row r="311" spans="1:13" x14ac:dyDescent="0.35">
      <c r="A311" s="7">
        <v>296</v>
      </c>
      <c r="B311" s="12">
        <f t="shared" si="45"/>
        <v>-1.5037732765676992E-6</v>
      </c>
      <c r="C311" s="12">
        <f t="shared" si="46"/>
        <v>49</v>
      </c>
      <c r="D311" s="12">
        <f t="shared" si="47"/>
        <v>0.74999909551417643</v>
      </c>
      <c r="E311" s="12">
        <f t="shared" si="48"/>
        <v>1.0173279108016686E-7</v>
      </c>
      <c r="F311" s="12">
        <f t="shared" si="49"/>
        <v>7</v>
      </c>
      <c r="G311" s="12">
        <f t="shared" si="50"/>
        <v>5.0002754150586019E-2</v>
      </c>
      <c r="H311" s="12">
        <f t="shared" si="51"/>
        <v>0</v>
      </c>
      <c r="I311" s="12">
        <f>2</f>
        <v>2</v>
      </c>
      <c r="J311" s="12">
        <f t="shared" si="52"/>
        <v>0.54999903447450382</v>
      </c>
      <c r="K311" s="12">
        <f t="shared" si="44"/>
        <v>1.2500000000820164E-2</v>
      </c>
      <c r="L311" s="12">
        <f t="shared" si="53"/>
        <v>0</v>
      </c>
      <c r="M311" s="7" t="str">
        <f t="shared" si="54"/>
        <v>yes</v>
      </c>
    </row>
    <row r="312" spans="1:13" x14ac:dyDescent="0.35">
      <c r="A312" s="7">
        <v>297</v>
      </c>
      <c r="B312" s="12">
        <f t="shared" si="45"/>
        <v>-1.5037732765676992E-6</v>
      </c>
      <c r="C312" s="12">
        <f t="shared" si="46"/>
        <v>49</v>
      </c>
      <c r="D312" s="12">
        <f t="shared" si="47"/>
        <v>0.74999909551417643</v>
      </c>
      <c r="E312" s="12">
        <f t="shared" si="48"/>
        <v>1.0173279108016686E-7</v>
      </c>
      <c r="F312" s="12">
        <f t="shared" si="49"/>
        <v>7</v>
      </c>
      <c r="G312" s="12">
        <f t="shared" si="50"/>
        <v>5.0002754150586019E-2</v>
      </c>
      <c r="H312" s="12">
        <f t="shared" si="51"/>
        <v>0</v>
      </c>
      <c r="I312" s="12">
        <f>2</f>
        <v>2</v>
      </c>
      <c r="J312" s="12">
        <f t="shared" si="52"/>
        <v>0.54999903447450382</v>
      </c>
      <c r="K312" s="12">
        <f t="shared" si="44"/>
        <v>1.2500000000820164E-2</v>
      </c>
      <c r="L312" s="12">
        <f t="shared" si="53"/>
        <v>0</v>
      </c>
      <c r="M312" s="7" t="str">
        <f t="shared" si="54"/>
        <v>yes</v>
      </c>
    </row>
    <row r="313" spans="1:13" x14ac:dyDescent="0.35">
      <c r="A313" s="7">
        <v>298</v>
      </c>
      <c r="B313" s="12">
        <f t="shared" si="45"/>
        <v>-1.5037732765676992E-6</v>
      </c>
      <c r="C313" s="12">
        <f t="shared" si="46"/>
        <v>49</v>
      </c>
      <c r="D313" s="12">
        <f t="shared" si="47"/>
        <v>0.74999909551417643</v>
      </c>
      <c r="E313" s="12">
        <f t="shared" si="48"/>
        <v>1.0173279108016686E-7</v>
      </c>
      <c r="F313" s="12">
        <f t="shared" si="49"/>
        <v>7</v>
      </c>
      <c r="G313" s="12">
        <f t="shared" si="50"/>
        <v>5.0002754150586019E-2</v>
      </c>
      <c r="H313" s="12">
        <f t="shared" si="51"/>
        <v>0</v>
      </c>
      <c r="I313" s="12">
        <f>2</f>
        <v>2</v>
      </c>
      <c r="J313" s="12">
        <f t="shared" si="52"/>
        <v>0.54999903447450382</v>
      </c>
      <c r="K313" s="12">
        <f t="shared" si="44"/>
        <v>1.2500000000820164E-2</v>
      </c>
      <c r="L313" s="12">
        <f t="shared" si="53"/>
        <v>0</v>
      </c>
      <c r="M313" s="7" t="str">
        <f t="shared" si="54"/>
        <v>yes</v>
      </c>
    </row>
    <row r="314" spans="1:13" x14ac:dyDescent="0.35">
      <c r="A314" s="7">
        <v>299</v>
      </c>
      <c r="B314" s="12">
        <f t="shared" si="45"/>
        <v>-1.5037732765676992E-6</v>
      </c>
      <c r="C314" s="12">
        <f t="shared" si="46"/>
        <v>49</v>
      </c>
      <c r="D314" s="12">
        <f t="shared" si="47"/>
        <v>0.74999909551417643</v>
      </c>
      <c r="E314" s="12">
        <f t="shared" si="48"/>
        <v>1.0173279108016686E-7</v>
      </c>
      <c r="F314" s="12">
        <f t="shared" si="49"/>
        <v>7</v>
      </c>
      <c r="G314" s="12">
        <f t="shared" si="50"/>
        <v>5.0002754150586019E-2</v>
      </c>
      <c r="H314" s="12">
        <f t="shared" si="51"/>
        <v>0</v>
      </c>
      <c r="I314" s="12">
        <f>2</f>
        <v>2</v>
      </c>
      <c r="J314" s="12">
        <f t="shared" si="52"/>
        <v>0.54999903447450382</v>
      </c>
      <c r="K314" s="12">
        <f t="shared" si="44"/>
        <v>1.2500000000820164E-2</v>
      </c>
      <c r="L314" s="12">
        <f t="shared" si="53"/>
        <v>0</v>
      </c>
      <c r="M314" s="7" t="str">
        <f t="shared" si="54"/>
        <v>yes</v>
      </c>
    </row>
    <row r="315" spans="1:13" x14ac:dyDescent="0.35">
      <c r="A315" s="7">
        <v>300</v>
      </c>
      <c r="B315" s="12">
        <f t="shared" si="45"/>
        <v>-1.5037732765676992E-6</v>
      </c>
      <c r="C315" s="12">
        <f t="shared" si="46"/>
        <v>49</v>
      </c>
      <c r="D315" s="12">
        <f t="shared" si="47"/>
        <v>0.74999909551417643</v>
      </c>
      <c r="E315" s="12">
        <f t="shared" si="48"/>
        <v>1.0173279108016686E-7</v>
      </c>
      <c r="F315" s="12">
        <f t="shared" si="49"/>
        <v>7</v>
      </c>
      <c r="G315" s="12">
        <f t="shared" si="50"/>
        <v>5.0002754150586019E-2</v>
      </c>
      <c r="H315" s="12">
        <f t="shared" si="51"/>
        <v>0</v>
      </c>
      <c r="I315" s="12">
        <f>2</f>
        <v>2</v>
      </c>
      <c r="J315" s="12">
        <f t="shared" si="52"/>
        <v>0.54999903447450382</v>
      </c>
      <c r="K315" s="12">
        <f t="shared" si="44"/>
        <v>1.2500000000820164E-2</v>
      </c>
      <c r="L315" s="12">
        <f t="shared" si="53"/>
        <v>0</v>
      </c>
      <c r="M315" s="7" t="str">
        <f t="shared" si="54"/>
        <v>yes</v>
      </c>
    </row>
    <row r="316" spans="1:13" x14ac:dyDescent="0.35">
      <c r="A316" s="7">
        <v>301</v>
      </c>
      <c r="B316" s="12">
        <f t="shared" si="45"/>
        <v>-1.5037732765676992E-6</v>
      </c>
      <c r="C316" s="12">
        <f t="shared" si="46"/>
        <v>49</v>
      </c>
      <c r="D316" s="12">
        <f t="shared" si="47"/>
        <v>0.74999909551417643</v>
      </c>
      <c r="E316" s="12">
        <f t="shared" si="48"/>
        <v>1.0173279108016686E-7</v>
      </c>
      <c r="F316" s="12">
        <f t="shared" si="49"/>
        <v>7</v>
      </c>
      <c r="G316" s="12">
        <f t="shared" si="50"/>
        <v>5.0002754150586019E-2</v>
      </c>
      <c r="H316" s="12">
        <f t="shared" si="51"/>
        <v>0</v>
      </c>
      <c r="I316" s="12">
        <f>2</f>
        <v>2</v>
      </c>
      <c r="J316" s="12">
        <f t="shared" si="52"/>
        <v>0.54999903447450382</v>
      </c>
      <c r="K316" s="12">
        <f t="shared" si="44"/>
        <v>1.2500000000820164E-2</v>
      </c>
      <c r="L316" s="12">
        <f t="shared" si="53"/>
        <v>0</v>
      </c>
      <c r="M316" s="7" t="str">
        <f t="shared" si="54"/>
        <v>yes</v>
      </c>
    </row>
    <row r="317" spans="1:13" x14ac:dyDescent="0.35">
      <c r="A317" s="7">
        <v>302</v>
      </c>
      <c r="B317" s="12">
        <f t="shared" si="45"/>
        <v>-1.5037732765676992E-6</v>
      </c>
      <c r="C317" s="12">
        <f t="shared" si="46"/>
        <v>49</v>
      </c>
      <c r="D317" s="12">
        <f t="shared" si="47"/>
        <v>0.74999909551417643</v>
      </c>
      <c r="E317" s="12">
        <f t="shared" si="48"/>
        <v>1.0173279108016686E-7</v>
      </c>
      <c r="F317" s="12">
        <f t="shared" si="49"/>
        <v>7</v>
      </c>
      <c r="G317" s="12">
        <f t="shared" si="50"/>
        <v>5.0002754150586019E-2</v>
      </c>
      <c r="H317" s="12">
        <f t="shared" si="51"/>
        <v>0</v>
      </c>
      <c r="I317" s="12">
        <f>2</f>
        <v>2</v>
      </c>
      <c r="J317" s="12">
        <f t="shared" si="52"/>
        <v>0.54999903447450382</v>
      </c>
      <c r="K317" s="12">
        <f t="shared" si="44"/>
        <v>1.2500000000820164E-2</v>
      </c>
      <c r="L317" s="12">
        <f t="shared" si="53"/>
        <v>0</v>
      </c>
      <c r="M317" s="7" t="str">
        <f t="shared" si="54"/>
        <v>yes</v>
      </c>
    </row>
    <row r="318" spans="1:13" x14ac:dyDescent="0.35">
      <c r="A318" s="7">
        <v>303</v>
      </c>
      <c r="B318" s="12">
        <f t="shared" si="45"/>
        <v>-1.5037732765676992E-6</v>
      </c>
      <c r="C318" s="12">
        <f t="shared" si="46"/>
        <v>49</v>
      </c>
      <c r="D318" s="12">
        <f t="shared" si="47"/>
        <v>0.74999909551417643</v>
      </c>
      <c r="E318" s="12">
        <f t="shared" si="48"/>
        <v>1.0173279108016686E-7</v>
      </c>
      <c r="F318" s="12">
        <f t="shared" si="49"/>
        <v>7</v>
      </c>
      <c r="G318" s="12">
        <f t="shared" si="50"/>
        <v>5.0002754150586019E-2</v>
      </c>
      <c r="H318" s="12">
        <f t="shared" si="51"/>
        <v>0</v>
      </c>
      <c r="I318" s="12">
        <f>2</f>
        <v>2</v>
      </c>
      <c r="J318" s="12">
        <f t="shared" si="52"/>
        <v>0.54999903447450382</v>
      </c>
      <c r="K318" s="12">
        <f t="shared" si="44"/>
        <v>1.2500000000820164E-2</v>
      </c>
      <c r="L318" s="12">
        <f t="shared" si="53"/>
        <v>0</v>
      </c>
      <c r="M318" s="7" t="str">
        <f t="shared" si="54"/>
        <v>yes</v>
      </c>
    </row>
    <row r="319" spans="1:13" x14ac:dyDescent="0.35">
      <c r="A319" s="7">
        <v>304</v>
      </c>
      <c r="B319" s="12">
        <f t="shared" si="45"/>
        <v>-1.5037732765676992E-6</v>
      </c>
      <c r="C319" s="12">
        <f t="shared" si="46"/>
        <v>49</v>
      </c>
      <c r="D319" s="12">
        <f t="shared" si="47"/>
        <v>0.74999909551417643</v>
      </c>
      <c r="E319" s="12">
        <f t="shared" si="48"/>
        <v>1.0173279108016686E-7</v>
      </c>
      <c r="F319" s="12">
        <f t="shared" si="49"/>
        <v>7</v>
      </c>
      <c r="G319" s="12">
        <f t="shared" si="50"/>
        <v>5.0002754150586019E-2</v>
      </c>
      <c r="H319" s="12">
        <f t="shared" si="51"/>
        <v>0</v>
      </c>
      <c r="I319" s="12">
        <f>2</f>
        <v>2</v>
      </c>
      <c r="J319" s="12">
        <f t="shared" si="52"/>
        <v>0.54999903447450382</v>
      </c>
      <c r="K319" s="12">
        <f t="shared" si="44"/>
        <v>1.2500000000820164E-2</v>
      </c>
      <c r="L319" s="12">
        <f t="shared" si="53"/>
        <v>0</v>
      </c>
      <c r="M319" s="7" t="str">
        <f t="shared" si="54"/>
        <v>yes</v>
      </c>
    </row>
    <row r="320" spans="1:13" x14ac:dyDescent="0.35">
      <c r="A320" s="7">
        <v>305</v>
      </c>
      <c r="B320" s="12">
        <f t="shared" si="45"/>
        <v>-1.5037732765676992E-6</v>
      </c>
      <c r="C320" s="12">
        <f t="shared" si="46"/>
        <v>49</v>
      </c>
      <c r="D320" s="12">
        <f t="shared" si="47"/>
        <v>0.74999909551417643</v>
      </c>
      <c r="E320" s="12">
        <f t="shared" si="48"/>
        <v>1.0173279108016686E-7</v>
      </c>
      <c r="F320" s="12">
        <f t="shared" si="49"/>
        <v>7</v>
      </c>
      <c r="G320" s="12">
        <f t="shared" si="50"/>
        <v>5.0002754150586019E-2</v>
      </c>
      <c r="H320" s="12">
        <f t="shared" si="51"/>
        <v>0</v>
      </c>
      <c r="I320" s="12">
        <f>2</f>
        <v>2</v>
      </c>
      <c r="J320" s="12">
        <f t="shared" si="52"/>
        <v>0.54999903447450382</v>
      </c>
      <c r="K320" s="12">
        <f t="shared" si="44"/>
        <v>1.2500000000820164E-2</v>
      </c>
      <c r="L320" s="12">
        <f t="shared" si="53"/>
        <v>0</v>
      </c>
      <c r="M320" s="7" t="str">
        <f t="shared" si="54"/>
        <v>yes</v>
      </c>
    </row>
    <row r="321" spans="1:13" x14ac:dyDescent="0.35">
      <c r="A321" s="7">
        <v>306</v>
      </c>
      <c r="B321" s="12">
        <f t="shared" si="45"/>
        <v>-1.5037732765676992E-6</v>
      </c>
      <c r="C321" s="12">
        <f t="shared" si="46"/>
        <v>49</v>
      </c>
      <c r="D321" s="12">
        <f t="shared" si="47"/>
        <v>0.74999909551417643</v>
      </c>
      <c r="E321" s="12">
        <f t="shared" si="48"/>
        <v>1.0173279108016686E-7</v>
      </c>
      <c r="F321" s="12">
        <f t="shared" si="49"/>
        <v>7</v>
      </c>
      <c r="G321" s="12">
        <f t="shared" si="50"/>
        <v>5.0002754150586019E-2</v>
      </c>
      <c r="H321" s="12">
        <f t="shared" si="51"/>
        <v>0</v>
      </c>
      <c r="I321" s="12">
        <f>2</f>
        <v>2</v>
      </c>
      <c r="J321" s="12">
        <f t="shared" si="52"/>
        <v>0.54999903447450382</v>
      </c>
      <c r="K321" s="12">
        <f t="shared" si="44"/>
        <v>1.2500000000820164E-2</v>
      </c>
      <c r="L321" s="12">
        <f t="shared" si="53"/>
        <v>0</v>
      </c>
      <c r="M321" s="7" t="str">
        <f t="shared" si="54"/>
        <v>yes</v>
      </c>
    </row>
    <row r="322" spans="1:13" x14ac:dyDescent="0.35">
      <c r="A322" s="7">
        <v>307</v>
      </c>
      <c r="B322" s="12">
        <f t="shared" si="45"/>
        <v>-1.5037732765676992E-6</v>
      </c>
      <c r="C322" s="12">
        <f t="shared" si="46"/>
        <v>49</v>
      </c>
      <c r="D322" s="12">
        <f t="shared" si="47"/>
        <v>0.74999909551417643</v>
      </c>
      <c r="E322" s="12">
        <f t="shared" si="48"/>
        <v>1.0173279108016686E-7</v>
      </c>
      <c r="F322" s="12">
        <f t="shared" si="49"/>
        <v>7</v>
      </c>
      <c r="G322" s="12">
        <f t="shared" si="50"/>
        <v>5.0002754150586019E-2</v>
      </c>
      <c r="H322" s="12">
        <f t="shared" si="51"/>
        <v>0</v>
      </c>
      <c r="I322" s="12">
        <f>2</f>
        <v>2</v>
      </c>
      <c r="J322" s="12">
        <f t="shared" si="52"/>
        <v>0.54999903447450382</v>
      </c>
      <c r="K322" s="12">
        <f t="shared" si="44"/>
        <v>1.2500000000820164E-2</v>
      </c>
      <c r="L322" s="12">
        <f t="shared" si="53"/>
        <v>0</v>
      </c>
      <c r="M322" s="7" t="str">
        <f t="shared" si="54"/>
        <v>yes</v>
      </c>
    </row>
    <row r="323" spans="1:13" x14ac:dyDescent="0.35">
      <c r="A323" s="7">
        <v>308</v>
      </c>
      <c r="B323" s="12">
        <f t="shared" si="45"/>
        <v>-1.5037732765676992E-6</v>
      </c>
      <c r="C323" s="12">
        <f t="shared" si="46"/>
        <v>49</v>
      </c>
      <c r="D323" s="12">
        <f t="shared" si="47"/>
        <v>0.74999909551417643</v>
      </c>
      <c r="E323" s="12">
        <f t="shared" si="48"/>
        <v>1.0173279108016686E-7</v>
      </c>
      <c r="F323" s="12">
        <f t="shared" si="49"/>
        <v>7</v>
      </c>
      <c r="G323" s="12">
        <f t="shared" si="50"/>
        <v>5.0002754150586019E-2</v>
      </c>
      <c r="H323" s="12">
        <f t="shared" si="51"/>
        <v>0</v>
      </c>
      <c r="I323" s="12">
        <f>2</f>
        <v>2</v>
      </c>
      <c r="J323" s="12">
        <f t="shared" si="52"/>
        <v>0.54999903447450382</v>
      </c>
      <c r="K323" s="12">
        <f t="shared" si="44"/>
        <v>1.2500000000820164E-2</v>
      </c>
      <c r="L323" s="12">
        <f t="shared" si="53"/>
        <v>0</v>
      </c>
      <c r="M323" s="7" t="str">
        <f t="shared" si="54"/>
        <v>yes</v>
      </c>
    </row>
    <row r="324" spans="1:13" x14ac:dyDescent="0.35">
      <c r="A324" s="7">
        <v>309</v>
      </c>
      <c r="B324" s="12">
        <f t="shared" si="45"/>
        <v>-1.5037732765676992E-6</v>
      </c>
      <c r="C324" s="12">
        <f t="shared" si="46"/>
        <v>49</v>
      </c>
      <c r="D324" s="12">
        <f t="shared" si="47"/>
        <v>0.74999909551417643</v>
      </c>
      <c r="E324" s="12">
        <f t="shared" si="48"/>
        <v>1.0173279108016686E-7</v>
      </c>
      <c r="F324" s="12">
        <f t="shared" si="49"/>
        <v>7</v>
      </c>
      <c r="G324" s="12">
        <f t="shared" si="50"/>
        <v>5.0002754150586019E-2</v>
      </c>
      <c r="H324" s="12">
        <f t="shared" si="51"/>
        <v>0</v>
      </c>
      <c r="I324" s="12">
        <f>2</f>
        <v>2</v>
      </c>
      <c r="J324" s="12">
        <f t="shared" si="52"/>
        <v>0.54999903447450382</v>
      </c>
      <c r="K324" s="12">
        <f t="shared" si="44"/>
        <v>1.2500000000820164E-2</v>
      </c>
      <c r="L324" s="12">
        <f t="shared" si="53"/>
        <v>0</v>
      </c>
      <c r="M324" s="7" t="str">
        <f t="shared" si="54"/>
        <v>yes</v>
      </c>
    </row>
    <row r="325" spans="1:13" x14ac:dyDescent="0.35">
      <c r="A325" s="7">
        <v>310</v>
      </c>
      <c r="B325" s="12">
        <f t="shared" si="45"/>
        <v>-1.5037732765676992E-6</v>
      </c>
      <c r="C325" s="12">
        <f t="shared" si="46"/>
        <v>49</v>
      </c>
      <c r="D325" s="12">
        <f t="shared" si="47"/>
        <v>0.74999909551417643</v>
      </c>
      <c r="E325" s="12">
        <f t="shared" si="48"/>
        <v>1.0173279108016686E-7</v>
      </c>
      <c r="F325" s="12">
        <f t="shared" si="49"/>
        <v>7</v>
      </c>
      <c r="G325" s="12">
        <f t="shared" si="50"/>
        <v>5.0002754150586019E-2</v>
      </c>
      <c r="H325" s="12">
        <f t="shared" si="51"/>
        <v>0</v>
      </c>
      <c r="I325" s="12">
        <f>2</f>
        <v>2</v>
      </c>
      <c r="J325" s="12">
        <f t="shared" si="52"/>
        <v>0.54999903447450382</v>
      </c>
      <c r="K325" s="12">
        <f t="shared" si="44"/>
        <v>1.2500000000820164E-2</v>
      </c>
      <c r="L325" s="12">
        <f t="shared" si="53"/>
        <v>0</v>
      </c>
      <c r="M325" s="7" t="str">
        <f t="shared" si="54"/>
        <v>yes</v>
      </c>
    </row>
    <row r="326" spans="1:13" x14ac:dyDescent="0.35">
      <c r="A326" s="7">
        <v>311</v>
      </c>
      <c r="B326" s="12">
        <f t="shared" si="45"/>
        <v>-1.5037732765676992E-6</v>
      </c>
      <c r="C326" s="12">
        <f t="shared" si="46"/>
        <v>49</v>
      </c>
      <c r="D326" s="12">
        <f t="shared" si="47"/>
        <v>0.74999909551417643</v>
      </c>
      <c r="E326" s="12">
        <f t="shared" si="48"/>
        <v>1.0173279108016686E-7</v>
      </c>
      <c r="F326" s="12">
        <f t="shared" si="49"/>
        <v>7</v>
      </c>
      <c r="G326" s="12">
        <f t="shared" si="50"/>
        <v>5.0002754150586019E-2</v>
      </c>
      <c r="H326" s="12">
        <f t="shared" si="51"/>
        <v>0</v>
      </c>
      <c r="I326" s="12">
        <f>2</f>
        <v>2</v>
      </c>
      <c r="J326" s="12">
        <f t="shared" si="52"/>
        <v>0.54999903447450382</v>
      </c>
      <c r="K326" s="12">
        <f t="shared" si="44"/>
        <v>1.2500000000820164E-2</v>
      </c>
      <c r="L326" s="12">
        <f t="shared" si="53"/>
        <v>0</v>
      </c>
      <c r="M326" s="7" t="str">
        <f t="shared" si="54"/>
        <v>yes</v>
      </c>
    </row>
    <row r="327" spans="1:13" x14ac:dyDescent="0.35">
      <c r="A327" s="7">
        <v>312</v>
      </c>
      <c r="B327" s="12">
        <f t="shared" si="45"/>
        <v>-1.5037732765676992E-6</v>
      </c>
      <c r="C327" s="12">
        <f t="shared" si="46"/>
        <v>49</v>
      </c>
      <c r="D327" s="12">
        <f t="shared" si="47"/>
        <v>0.74999909551417643</v>
      </c>
      <c r="E327" s="12">
        <f t="shared" si="48"/>
        <v>1.0173279108016686E-7</v>
      </c>
      <c r="F327" s="12">
        <f t="shared" si="49"/>
        <v>7</v>
      </c>
      <c r="G327" s="12">
        <f t="shared" si="50"/>
        <v>5.0002754150586019E-2</v>
      </c>
      <c r="H327" s="12">
        <f t="shared" si="51"/>
        <v>0</v>
      </c>
      <c r="I327" s="12">
        <f>2</f>
        <v>2</v>
      </c>
      <c r="J327" s="12">
        <f t="shared" si="52"/>
        <v>0.54999903447450382</v>
      </c>
      <c r="K327" s="12">
        <f t="shared" si="44"/>
        <v>1.2500000000820164E-2</v>
      </c>
      <c r="L327" s="12">
        <f t="shared" si="53"/>
        <v>0</v>
      </c>
      <c r="M327" s="7" t="str">
        <f t="shared" si="54"/>
        <v>yes</v>
      </c>
    </row>
    <row r="328" spans="1:13" x14ac:dyDescent="0.35">
      <c r="A328" s="7">
        <v>313</v>
      </c>
      <c r="B328" s="12">
        <f t="shared" si="45"/>
        <v>-1.5037732765676992E-6</v>
      </c>
      <c r="C328" s="12">
        <f t="shared" si="46"/>
        <v>49</v>
      </c>
      <c r="D328" s="12">
        <f t="shared" si="47"/>
        <v>0.74999909551417643</v>
      </c>
      <c r="E328" s="12">
        <f t="shared" si="48"/>
        <v>1.0173279108016686E-7</v>
      </c>
      <c r="F328" s="12">
        <f t="shared" si="49"/>
        <v>7</v>
      </c>
      <c r="G328" s="12">
        <f t="shared" si="50"/>
        <v>5.0002754150586019E-2</v>
      </c>
      <c r="H328" s="12">
        <f t="shared" si="51"/>
        <v>0</v>
      </c>
      <c r="I328" s="12">
        <f>2</f>
        <v>2</v>
      </c>
      <c r="J328" s="12">
        <f t="shared" si="52"/>
        <v>0.54999903447450382</v>
      </c>
      <c r="K328" s="12">
        <f t="shared" si="44"/>
        <v>1.2500000000820164E-2</v>
      </c>
      <c r="L328" s="12">
        <f t="shared" si="53"/>
        <v>0</v>
      </c>
      <c r="M328" s="7" t="str">
        <f t="shared" si="54"/>
        <v>yes</v>
      </c>
    </row>
    <row r="329" spans="1:13" x14ac:dyDescent="0.35">
      <c r="A329" s="7">
        <v>314</v>
      </c>
      <c r="B329" s="12">
        <f t="shared" si="45"/>
        <v>-1.5037732765676992E-6</v>
      </c>
      <c r="C329" s="12">
        <f t="shared" si="46"/>
        <v>49</v>
      </c>
      <c r="D329" s="12">
        <f t="shared" si="47"/>
        <v>0.74999909551417643</v>
      </c>
      <c r="E329" s="12">
        <f t="shared" si="48"/>
        <v>1.0173279108016686E-7</v>
      </c>
      <c r="F329" s="12">
        <f t="shared" si="49"/>
        <v>7</v>
      </c>
      <c r="G329" s="12">
        <f t="shared" si="50"/>
        <v>5.0002754150586019E-2</v>
      </c>
      <c r="H329" s="12">
        <f t="shared" si="51"/>
        <v>0</v>
      </c>
      <c r="I329" s="12">
        <f>2</f>
        <v>2</v>
      </c>
      <c r="J329" s="12">
        <f t="shared" si="52"/>
        <v>0.54999903447450382</v>
      </c>
      <c r="K329" s="12">
        <f t="shared" si="44"/>
        <v>1.2500000000820164E-2</v>
      </c>
      <c r="L329" s="12">
        <f t="shared" si="53"/>
        <v>0</v>
      </c>
      <c r="M329" s="7" t="str">
        <f t="shared" si="54"/>
        <v>yes</v>
      </c>
    </row>
    <row r="330" spans="1:13" x14ac:dyDescent="0.35">
      <c r="A330" s="7">
        <v>315</v>
      </c>
      <c r="B330" s="12">
        <f t="shared" si="45"/>
        <v>-1.5037732765676992E-6</v>
      </c>
      <c r="C330" s="12">
        <f t="shared" si="46"/>
        <v>49</v>
      </c>
      <c r="D330" s="12">
        <f t="shared" si="47"/>
        <v>0.74999909551417643</v>
      </c>
      <c r="E330" s="12">
        <f t="shared" si="48"/>
        <v>1.0173279108016686E-7</v>
      </c>
      <c r="F330" s="12">
        <f t="shared" si="49"/>
        <v>7</v>
      </c>
      <c r="G330" s="12">
        <f t="shared" si="50"/>
        <v>5.0002754150586019E-2</v>
      </c>
      <c r="H330" s="12">
        <f t="shared" si="51"/>
        <v>0</v>
      </c>
      <c r="I330" s="12">
        <f>2</f>
        <v>2</v>
      </c>
      <c r="J330" s="12">
        <f t="shared" si="52"/>
        <v>0.54999903447450382</v>
      </c>
      <c r="K330" s="12">
        <f t="shared" si="44"/>
        <v>1.2500000000820164E-2</v>
      </c>
      <c r="L330" s="12">
        <f t="shared" si="53"/>
        <v>0</v>
      </c>
      <c r="M330" s="7" t="str">
        <f t="shared" si="54"/>
        <v>yes</v>
      </c>
    </row>
    <row r="331" spans="1:13" x14ac:dyDescent="0.35">
      <c r="A331" s="7">
        <v>316</v>
      </c>
      <c r="B331" s="12">
        <f t="shared" si="45"/>
        <v>-1.5037732765676992E-6</v>
      </c>
      <c r="C331" s="12">
        <f t="shared" si="46"/>
        <v>49</v>
      </c>
      <c r="D331" s="12">
        <f t="shared" si="47"/>
        <v>0.74999909551417643</v>
      </c>
      <c r="E331" s="12">
        <f t="shared" si="48"/>
        <v>1.0173279108016686E-7</v>
      </c>
      <c r="F331" s="12">
        <f t="shared" si="49"/>
        <v>7</v>
      </c>
      <c r="G331" s="12">
        <f t="shared" si="50"/>
        <v>5.0002754150586019E-2</v>
      </c>
      <c r="H331" s="12">
        <f t="shared" si="51"/>
        <v>0</v>
      </c>
      <c r="I331" s="12">
        <f>2</f>
        <v>2</v>
      </c>
      <c r="J331" s="12">
        <f t="shared" si="52"/>
        <v>0.54999903447450382</v>
      </c>
      <c r="K331" s="12">
        <f t="shared" si="44"/>
        <v>1.2500000000820164E-2</v>
      </c>
      <c r="L331" s="12">
        <f t="shared" si="53"/>
        <v>0</v>
      </c>
      <c r="M331" s="7" t="str">
        <f t="shared" si="54"/>
        <v>yes</v>
      </c>
    </row>
    <row r="332" spans="1:13" x14ac:dyDescent="0.35">
      <c r="A332" s="7">
        <v>317</v>
      </c>
      <c r="B332" s="12">
        <f t="shared" si="45"/>
        <v>-1.5037732765676992E-6</v>
      </c>
      <c r="C332" s="12">
        <f t="shared" si="46"/>
        <v>49</v>
      </c>
      <c r="D332" s="12">
        <f t="shared" si="47"/>
        <v>0.74999909551417643</v>
      </c>
      <c r="E332" s="12">
        <f t="shared" si="48"/>
        <v>1.0173279108016686E-7</v>
      </c>
      <c r="F332" s="12">
        <f t="shared" si="49"/>
        <v>7</v>
      </c>
      <c r="G332" s="12">
        <f t="shared" si="50"/>
        <v>5.0002754150586019E-2</v>
      </c>
      <c r="H332" s="12">
        <f t="shared" si="51"/>
        <v>0</v>
      </c>
      <c r="I332" s="12">
        <f>2</f>
        <v>2</v>
      </c>
      <c r="J332" s="12">
        <f t="shared" si="52"/>
        <v>0.54999903447450382</v>
      </c>
      <c r="K332" s="12">
        <f t="shared" si="44"/>
        <v>1.2500000000820164E-2</v>
      </c>
      <c r="L332" s="12">
        <f t="shared" si="53"/>
        <v>0</v>
      </c>
      <c r="M332" s="7" t="str">
        <f t="shared" si="54"/>
        <v>yes</v>
      </c>
    </row>
    <row r="333" spans="1:13" x14ac:dyDescent="0.35">
      <c r="A333" s="7">
        <v>318</v>
      </c>
      <c r="B333" s="12">
        <f t="shared" si="45"/>
        <v>-1.5037732765676992E-6</v>
      </c>
      <c r="C333" s="12">
        <f t="shared" si="46"/>
        <v>49</v>
      </c>
      <c r="D333" s="12">
        <f t="shared" si="47"/>
        <v>0.74999909551417643</v>
      </c>
      <c r="E333" s="12">
        <f t="shared" si="48"/>
        <v>1.0173279108016686E-7</v>
      </c>
      <c r="F333" s="12">
        <f t="shared" si="49"/>
        <v>7</v>
      </c>
      <c r="G333" s="12">
        <f t="shared" si="50"/>
        <v>5.0002754150586019E-2</v>
      </c>
      <c r="H333" s="12">
        <f t="shared" si="51"/>
        <v>0</v>
      </c>
      <c r="I333" s="12">
        <f>2</f>
        <v>2</v>
      </c>
      <c r="J333" s="12">
        <f t="shared" si="52"/>
        <v>0.54999903447450382</v>
      </c>
      <c r="K333" s="12">
        <f t="shared" si="44"/>
        <v>1.2500000000820164E-2</v>
      </c>
      <c r="L333" s="12">
        <f t="shared" si="53"/>
        <v>0</v>
      </c>
      <c r="M333" s="7" t="str">
        <f t="shared" si="54"/>
        <v>yes</v>
      </c>
    </row>
    <row r="334" spans="1:13" x14ac:dyDescent="0.35">
      <c r="A334" s="7">
        <v>319</v>
      </c>
      <c r="B334" s="12">
        <f t="shared" si="45"/>
        <v>-1.5037732765676992E-6</v>
      </c>
      <c r="C334" s="12">
        <f t="shared" si="46"/>
        <v>49</v>
      </c>
      <c r="D334" s="12">
        <f t="shared" si="47"/>
        <v>0.74999909551417643</v>
      </c>
      <c r="E334" s="12">
        <f t="shared" si="48"/>
        <v>1.0173279108016686E-7</v>
      </c>
      <c r="F334" s="12">
        <f t="shared" si="49"/>
        <v>7</v>
      </c>
      <c r="G334" s="12">
        <f t="shared" si="50"/>
        <v>5.0002754150586019E-2</v>
      </c>
      <c r="H334" s="12">
        <f t="shared" si="51"/>
        <v>0</v>
      </c>
      <c r="I334" s="12">
        <f>2</f>
        <v>2</v>
      </c>
      <c r="J334" s="12">
        <f t="shared" si="52"/>
        <v>0.54999903447450382</v>
      </c>
      <c r="K334" s="12">
        <f t="shared" si="44"/>
        <v>1.2500000000820164E-2</v>
      </c>
      <c r="L334" s="12">
        <f t="shared" si="53"/>
        <v>0</v>
      </c>
      <c r="M334" s="7" t="str">
        <f t="shared" si="54"/>
        <v>yes</v>
      </c>
    </row>
    <row r="335" spans="1:13" x14ac:dyDescent="0.35">
      <c r="A335" s="7">
        <v>320</v>
      </c>
      <c r="B335" s="12">
        <f t="shared" si="45"/>
        <v>-1.5037732765676992E-6</v>
      </c>
      <c r="C335" s="12">
        <f t="shared" si="46"/>
        <v>49</v>
      </c>
      <c r="D335" s="12">
        <f t="shared" si="47"/>
        <v>0.74999909551417643</v>
      </c>
      <c r="E335" s="12">
        <f t="shared" si="48"/>
        <v>1.0173279108016686E-7</v>
      </c>
      <c r="F335" s="12">
        <f t="shared" si="49"/>
        <v>7</v>
      </c>
      <c r="G335" s="12">
        <f t="shared" si="50"/>
        <v>5.0002754150586019E-2</v>
      </c>
      <c r="H335" s="12">
        <f t="shared" si="51"/>
        <v>0</v>
      </c>
      <c r="I335" s="12">
        <f>2</f>
        <v>2</v>
      </c>
      <c r="J335" s="12">
        <f t="shared" si="52"/>
        <v>0.54999903447450382</v>
      </c>
      <c r="K335" s="12">
        <f t="shared" ref="K335:K398" si="55">SUMPRODUCT((D335*$B$6:$B$9^2+G335*$B$6:$B$9+J335-$C$6:$C$9)^2)/$F$5</f>
        <v>1.2500000000820164E-2</v>
      </c>
      <c r="L335" s="12">
        <f t="shared" si="53"/>
        <v>0</v>
      </c>
      <c r="M335" s="7" t="str">
        <f t="shared" si="54"/>
        <v>yes</v>
      </c>
    </row>
    <row r="336" spans="1:13" x14ac:dyDescent="0.35">
      <c r="A336" s="7">
        <v>321</v>
      </c>
      <c r="B336" s="12">
        <f t="shared" ref="B336:B399" si="56">2/$F$5*($F$9*D335+$F$8*G335+$F$7*J335-$F$12)</f>
        <v>-1.5037732765676992E-6</v>
      </c>
      <c r="C336" s="12">
        <f t="shared" ref="C336:C399" si="57">2/$F$5*$F$9</f>
        <v>49</v>
      </c>
      <c r="D336" s="12">
        <f t="shared" ref="D336:D399" si="58">IF(M335="yes",D335,D335-B336/C336)</f>
        <v>0.74999909551417643</v>
      </c>
      <c r="E336" s="12">
        <f t="shared" ref="E336:E399" si="59">2/$F$5*($F$8*D336+$F$7*G335+$F$6*J335-$F$11)</f>
        <v>1.0173279108016686E-7</v>
      </c>
      <c r="F336" s="12">
        <f t="shared" ref="F336:F399" si="60">2/$F$5*$F$7</f>
        <v>7</v>
      </c>
      <c r="G336" s="12">
        <f t="shared" ref="G336:G399" si="61">IF(M335="yes",G335,G335-E336/F336)</f>
        <v>5.0002754150586019E-2</v>
      </c>
      <c r="H336" s="12">
        <f t="shared" ref="H336:H399" si="62">2/$F$5*($F$7*D336+$F$6*G336+$F$5*J335-$F$10)</f>
        <v>0</v>
      </c>
      <c r="I336" s="12">
        <f>2</f>
        <v>2</v>
      </c>
      <c r="J336" s="12">
        <f t="shared" ref="J336:J399" si="63">IF(M335="yes",J335,J335-H336/I336)</f>
        <v>0.54999903447450382</v>
      </c>
      <c r="K336" s="12">
        <f t="shared" si="55"/>
        <v>1.2500000000820164E-2</v>
      </c>
      <c r="L336" s="12">
        <f t="shared" ref="L336:L399" si="64">MAX(ABS(D336-D335),ABS(G336-G335),ABS(J336-J335))</f>
        <v>0</v>
      </c>
      <c r="M336" s="7" t="str">
        <f t="shared" ref="M336:M399" si="65">IF(OR(M335="yes",L336&lt;$I$5),"yes","no")</f>
        <v>yes</v>
      </c>
    </row>
    <row r="337" spans="1:13" x14ac:dyDescent="0.35">
      <c r="A337" s="7">
        <v>322</v>
      </c>
      <c r="B337" s="12">
        <f t="shared" si="56"/>
        <v>-1.5037732765676992E-6</v>
      </c>
      <c r="C337" s="12">
        <f t="shared" si="57"/>
        <v>49</v>
      </c>
      <c r="D337" s="12">
        <f t="shared" si="58"/>
        <v>0.74999909551417643</v>
      </c>
      <c r="E337" s="12">
        <f t="shared" si="59"/>
        <v>1.0173279108016686E-7</v>
      </c>
      <c r="F337" s="12">
        <f t="shared" si="60"/>
        <v>7</v>
      </c>
      <c r="G337" s="12">
        <f t="shared" si="61"/>
        <v>5.0002754150586019E-2</v>
      </c>
      <c r="H337" s="12">
        <f t="shared" si="62"/>
        <v>0</v>
      </c>
      <c r="I337" s="12">
        <f>2</f>
        <v>2</v>
      </c>
      <c r="J337" s="12">
        <f t="shared" si="63"/>
        <v>0.54999903447450382</v>
      </c>
      <c r="K337" s="12">
        <f t="shared" si="55"/>
        <v>1.2500000000820164E-2</v>
      </c>
      <c r="L337" s="12">
        <f t="shared" si="64"/>
        <v>0</v>
      </c>
      <c r="M337" s="7" t="str">
        <f t="shared" si="65"/>
        <v>yes</v>
      </c>
    </row>
    <row r="338" spans="1:13" x14ac:dyDescent="0.35">
      <c r="A338" s="7">
        <v>323</v>
      </c>
      <c r="B338" s="12">
        <f t="shared" si="56"/>
        <v>-1.5037732765676992E-6</v>
      </c>
      <c r="C338" s="12">
        <f t="shared" si="57"/>
        <v>49</v>
      </c>
      <c r="D338" s="12">
        <f t="shared" si="58"/>
        <v>0.74999909551417643</v>
      </c>
      <c r="E338" s="12">
        <f t="shared" si="59"/>
        <v>1.0173279108016686E-7</v>
      </c>
      <c r="F338" s="12">
        <f t="shared" si="60"/>
        <v>7</v>
      </c>
      <c r="G338" s="12">
        <f t="shared" si="61"/>
        <v>5.0002754150586019E-2</v>
      </c>
      <c r="H338" s="12">
        <f t="shared" si="62"/>
        <v>0</v>
      </c>
      <c r="I338" s="12">
        <f>2</f>
        <v>2</v>
      </c>
      <c r="J338" s="12">
        <f t="shared" si="63"/>
        <v>0.54999903447450382</v>
      </c>
      <c r="K338" s="12">
        <f t="shared" si="55"/>
        <v>1.2500000000820164E-2</v>
      </c>
      <c r="L338" s="12">
        <f t="shared" si="64"/>
        <v>0</v>
      </c>
      <c r="M338" s="7" t="str">
        <f t="shared" si="65"/>
        <v>yes</v>
      </c>
    </row>
    <row r="339" spans="1:13" x14ac:dyDescent="0.35">
      <c r="A339" s="7">
        <v>324</v>
      </c>
      <c r="B339" s="12">
        <f t="shared" si="56"/>
        <v>-1.5037732765676992E-6</v>
      </c>
      <c r="C339" s="12">
        <f t="shared" si="57"/>
        <v>49</v>
      </c>
      <c r="D339" s="12">
        <f t="shared" si="58"/>
        <v>0.74999909551417643</v>
      </c>
      <c r="E339" s="12">
        <f t="shared" si="59"/>
        <v>1.0173279108016686E-7</v>
      </c>
      <c r="F339" s="12">
        <f t="shared" si="60"/>
        <v>7</v>
      </c>
      <c r="G339" s="12">
        <f t="shared" si="61"/>
        <v>5.0002754150586019E-2</v>
      </c>
      <c r="H339" s="12">
        <f t="shared" si="62"/>
        <v>0</v>
      </c>
      <c r="I339" s="12">
        <f>2</f>
        <v>2</v>
      </c>
      <c r="J339" s="12">
        <f t="shared" si="63"/>
        <v>0.54999903447450382</v>
      </c>
      <c r="K339" s="12">
        <f t="shared" si="55"/>
        <v>1.2500000000820164E-2</v>
      </c>
      <c r="L339" s="12">
        <f t="shared" si="64"/>
        <v>0</v>
      </c>
      <c r="M339" s="7" t="str">
        <f t="shared" si="65"/>
        <v>yes</v>
      </c>
    </row>
    <row r="340" spans="1:13" x14ac:dyDescent="0.35">
      <c r="A340" s="7">
        <v>325</v>
      </c>
      <c r="B340" s="12">
        <f t="shared" si="56"/>
        <v>-1.5037732765676992E-6</v>
      </c>
      <c r="C340" s="12">
        <f t="shared" si="57"/>
        <v>49</v>
      </c>
      <c r="D340" s="12">
        <f t="shared" si="58"/>
        <v>0.74999909551417643</v>
      </c>
      <c r="E340" s="12">
        <f t="shared" si="59"/>
        <v>1.0173279108016686E-7</v>
      </c>
      <c r="F340" s="12">
        <f t="shared" si="60"/>
        <v>7</v>
      </c>
      <c r="G340" s="12">
        <f t="shared" si="61"/>
        <v>5.0002754150586019E-2</v>
      </c>
      <c r="H340" s="12">
        <f t="shared" si="62"/>
        <v>0</v>
      </c>
      <c r="I340" s="12">
        <f>2</f>
        <v>2</v>
      </c>
      <c r="J340" s="12">
        <f t="shared" si="63"/>
        <v>0.54999903447450382</v>
      </c>
      <c r="K340" s="12">
        <f t="shared" si="55"/>
        <v>1.2500000000820164E-2</v>
      </c>
      <c r="L340" s="12">
        <f t="shared" si="64"/>
        <v>0</v>
      </c>
      <c r="M340" s="7" t="str">
        <f t="shared" si="65"/>
        <v>yes</v>
      </c>
    </row>
    <row r="341" spans="1:13" x14ac:dyDescent="0.35">
      <c r="A341" s="7">
        <v>326</v>
      </c>
      <c r="B341" s="12">
        <f t="shared" si="56"/>
        <v>-1.5037732765676992E-6</v>
      </c>
      <c r="C341" s="12">
        <f t="shared" si="57"/>
        <v>49</v>
      </c>
      <c r="D341" s="12">
        <f t="shared" si="58"/>
        <v>0.74999909551417643</v>
      </c>
      <c r="E341" s="12">
        <f t="shared" si="59"/>
        <v>1.0173279108016686E-7</v>
      </c>
      <c r="F341" s="12">
        <f t="shared" si="60"/>
        <v>7</v>
      </c>
      <c r="G341" s="12">
        <f t="shared" si="61"/>
        <v>5.0002754150586019E-2</v>
      </c>
      <c r="H341" s="12">
        <f t="shared" si="62"/>
        <v>0</v>
      </c>
      <c r="I341" s="12">
        <f>2</f>
        <v>2</v>
      </c>
      <c r="J341" s="12">
        <f t="shared" si="63"/>
        <v>0.54999903447450382</v>
      </c>
      <c r="K341" s="12">
        <f t="shared" si="55"/>
        <v>1.2500000000820164E-2</v>
      </c>
      <c r="L341" s="12">
        <f t="shared" si="64"/>
        <v>0</v>
      </c>
      <c r="M341" s="7" t="str">
        <f t="shared" si="65"/>
        <v>yes</v>
      </c>
    </row>
    <row r="342" spans="1:13" x14ac:dyDescent="0.35">
      <c r="A342" s="7">
        <v>327</v>
      </c>
      <c r="B342" s="12">
        <f t="shared" si="56"/>
        <v>-1.5037732765676992E-6</v>
      </c>
      <c r="C342" s="12">
        <f t="shared" si="57"/>
        <v>49</v>
      </c>
      <c r="D342" s="12">
        <f t="shared" si="58"/>
        <v>0.74999909551417643</v>
      </c>
      <c r="E342" s="12">
        <f t="shared" si="59"/>
        <v>1.0173279108016686E-7</v>
      </c>
      <c r="F342" s="12">
        <f t="shared" si="60"/>
        <v>7</v>
      </c>
      <c r="G342" s="12">
        <f t="shared" si="61"/>
        <v>5.0002754150586019E-2</v>
      </c>
      <c r="H342" s="12">
        <f t="shared" si="62"/>
        <v>0</v>
      </c>
      <c r="I342" s="12">
        <f>2</f>
        <v>2</v>
      </c>
      <c r="J342" s="12">
        <f t="shared" si="63"/>
        <v>0.54999903447450382</v>
      </c>
      <c r="K342" s="12">
        <f t="shared" si="55"/>
        <v>1.2500000000820164E-2</v>
      </c>
      <c r="L342" s="12">
        <f t="shared" si="64"/>
        <v>0</v>
      </c>
      <c r="M342" s="7" t="str">
        <f t="shared" si="65"/>
        <v>yes</v>
      </c>
    </row>
    <row r="343" spans="1:13" x14ac:dyDescent="0.35">
      <c r="A343" s="7">
        <v>328</v>
      </c>
      <c r="B343" s="12">
        <f t="shared" si="56"/>
        <v>-1.5037732765676992E-6</v>
      </c>
      <c r="C343" s="12">
        <f t="shared" si="57"/>
        <v>49</v>
      </c>
      <c r="D343" s="12">
        <f t="shared" si="58"/>
        <v>0.74999909551417643</v>
      </c>
      <c r="E343" s="12">
        <f t="shared" si="59"/>
        <v>1.0173279108016686E-7</v>
      </c>
      <c r="F343" s="12">
        <f t="shared" si="60"/>
        <v>7</v>
      </c>
      <c r="G343" s="12">
        <f t="shared" si="61"/>
        <v>5.0002754150586019E-2</v>
      </c>
      <c r="H343" s="12">
        <f t="shared" si="62"/>
        <v>0</v>
      </c>
      <c r="I343" s="12">
        <f>2</f>
        <v>2</v>
      </c>
      <c r="J343" s="12">
        <f t="shared" si="63"/>
        <v>0.54999903447450382</v>
      </c>
      <c r="K343" s="12">
        <f t="shared" si="55"/>
        <v>1.2500000000820164E-2</v>
      </c>
      <c r="L343" s="12">
        <f t="shared" si="64"/>
        <v>0</v>
      </c>
      <c r="M343" s="7" t="str">
        <f t="shared" si="65"/>
        <v>yes</v>
      </c>
    </row>
    <row r="344" spans="1:13" x14ac:dyDescent="0.35">
      <c r="A344" s="7">
        <v>329</v>
      </c>
      <c r="B344" s="12">
        <f t="shared" si="56"/>
        <v>-1.5037732765676992E-6</v>
      </c>
      <c r="C344" s="12">
        <f t="shared" si="57"/>
        <v>49</v>
      </c>
      <c r="D344" s="12">
        <f t="shared" si="58"/>
        <v>0.74999909551417643</v>
      </c>
      <c r="E344" s="12">
        <f t="shared" si="59"/>
        <v>1.0173279108016686E-7</v>
      </c>
      <c r="F344" s="12">
        <f t="shared" si="60"/>
        <v>7</v>
      </c>
      <c r="G344" s="12">
        <f t="shared" si="61"/>
        <v>5.0002754150586019E-2</v>
      </c>
      <c r="H344" s="12">
        <f t="shared" si="62"/>
        <v>0</v>
      </c>
      <c r="I344" s="12">
        <f>2</f>
        <v>2</v>
      </c>
      <c r="J344" s="12">
        <f t="shared" si="63"/>
        <v>0.54999903447450382</v>
      </c>
      <c r="K344" s="12">
        <f t="shared" si="55"/>
        <v>1.2500000000820164E-2</v>
      </c>
      <c r="L344" s="12">
        <f t="shared" si="64"/>
        <v>0</v>
      </c>
      <c r="M344" s="7" t="str">
        <f t="shared" si="65"/>
        <v>yes</v>
      </c>
    </row>
    <row r="345" spans="1:13" x14ac:dyDescent="0.35">
      <c r="A345" s="7">
        <v>330</v>
      </c>
      <c r="B345" s="12">
        <f t="shared" si="56"/>
        <v>-1.5037732765676992E-6</v>
      </c>
      <c r="C345" s="12">
        <f t="shared" si="57"/>
        <v>49</v>
      </c>
      <c r="D345" s="12">
        <f t="shared" si="58"/>
        <v>0.74999909551417643</v>
      </c>
      <c r="E345" s="12">
        <f t="shared" si="59"/>
        <v>1.0173279108016686E-7</v>
      </c>
      <c r="F345" s="12">
        <f t="shared" si="60"/>
        <v>7</v>
      </c>
      <c r="G345" s="12">
        <f t="shared" si="61"/>
        <v>5.0002754150586019E-2</v>
      </c>
      <c r="H345" s="12">
        <f t="shared" si="62"/>
        <v>0</v>
      </c>
      <c r="I345" s="12">
        <f>2</f>
        <v>2</v>
      </c>
      <c r="J345" s="12">
        <f t="shared" si="63"/>
        <v>0.54999903447450382</v>
      </c>
      <c r="K345" s="12">
        <f t="shared" si="55"/>
        <v>1.2500000000820164E-2</v>
      </c>
      <c r="L345" s="12">
        <f t="shared" si="64"/>
        <v>0</v>
      </c>
      <c r="M345" s="7" t="str">
        <f t="shared" si="65"/>
        <v>yes</v>
      </c>
    </row>
    <row r="346" spans="1:13" x14ac:dyDescent="0.35">
      <c r="A346" s="7">
        <v>331</v>
      </c>
      <c r="B346" s="12">
        <f t="shared" si="56"/>
        <v>-1.5037732765676992E-6</v>
      </c>
      <c r="C346" s="12">
        <f t="shared" si="57"/>
        <v>49</v>
      </c>
      <c r="D346" s="12">
        <f t="shared" si="58"/>
        <v>0.74999909551417643</v>
      </c>
      <c r="E346" s="12">
        <f t="shared" si="59"/>
        <v>1.0173279108016686E-7</v>
      </c>
      <c r="F346" s="12">
        <f t="shared" si="60"/>
        <v>7</v>
      </c>
      <c r="G346" s="12">
        <f t="shared" si="61"/>
        <v>5.0002754150586019E-2</v>
      </c>
      <c r="H346" s="12">
        <f t="shared" si="62"/>
        <v>0</v>
      </c>
      <c r="I346" s="12">
        <f>2</f>
        <v>2</v>
      </c>
      <c r="J346" s="12">
        <f t="shared" si="63"/>
        <v>0.54999903447450382</v>
      </c>
      <c r="K346" s="12">
        <f t="shared" si="55"/>
        <v>1.2500000000820164E-2</v>
      </c>
      <c r="L346" s="12">
        <f t="shared" si="64"/>
        <v>0</v>
      </c>
      <c r="M346" s="7" t="str">
        <f t="shared" si="65"/>
        <v>yes</v>
      </c>
    </row>
    <row r="347" spans="1:13" x14ac:dyDescent="0.35">
      <c r="A347" s="7">
        <v>332</v>
      </c>
      <c r="B347" s="12">
        <f t="shared" si="56"/>
        <v>-1.5037732765676992E-6</v>
      </c>
      <c r="C347" s="12">
        <f t="shared" si="57"/>
        <v>49</v>
      </c>
      <c r="D347" s="12">
        <f t="shared" si="58"/>
        <v>0.74999909551417643</v>
      </c>
      <c r="E347" s="12">
        <f t="shared" si="59"/>
        <v>1.0173279108016686E-7</v>
      </c>
      <c r="F347" s="12">
        <f t="shared" si="60"/>
        <v>7</v>
      </c>
      <c r="G347" s="12">
        <f t="shared" si="61"/>
        <v>5.0002754150586019E-2</v>
      </c>
      <c r="H347" s="12">
        <f t="shared" si="62"/>
        <v>0</v>
      </c>
      <c r="I347" s="12">
        <f>2</f>
        <v>2</v>
      </c>
      <c r="J347" s="12">
        <f t="shared" si="63"/>
        <v>0.54999903447450382</v>
      </c>
      <c r="K347" s="12">
        <f t="shared" si="55"/>
        <v>1.2500000000820164E-2</v>
      </c>
      <c r="L347" s="12">
        <f t="shared" si="64"/>
        <v>0</v>
      </c>
      <c r="M347" s="7" t="str">
        <f t="shared" si="65"/>
        <v>yes</v>
      </c>
    </row>
    <row r="348" spans="1:13" x14ac:dyDescent="0.35">
      <c r="A348" s="7">
        <v>333</v>
      </c>
      <c r="B348" s="12">
        <f t="shared" si="56"/>
        <v>-1.5037732765676992E-6</v>
      </c>
      <c r="C348" s="12">
        <f t="shared" si="57"/>
        <v>49</v>
      </c>
      <c r="D348" s="12">
        <f t="shared" si="58"/>
        <v>0.74999909551417643</v>
      </c>
      <c r="E348" s="12">
        <f t="shared" si="59"/>
        <v>1.0173279108016686E-7</v>
      </c>
      <c r="F348" s="12">
        <f t="shared" si="60"/>
        <v>7</v>
      </c>
      <c r="G348" s="12">
        <f t="shared" si="61"/>
        <v>5.0002754150586019E-2</v>
      </c>
      <c r="H348" s="12">
        <f t="shared" si="62"/>
        <v>0</v>
      </c>
      <c r="I348" s="12">
        <f>2</f>
        <v>2</v>
      </c>
      <c r="J348" s="12">
        <f t="shared" si="63"/>
        <v>0.54999903447450382</v>
      </c>
      <c r="K348" s="12">
        <f t="shared" si="55"/>
        <v>1.2500000000820164E-2</v>
      </c>
      <c r="L348" s="12">
        <f t="shared" si="64"/>
        <v>0</v>
      </c>
      <c r="M348" s="7" t="str">
        <f t="shared" si="65"/>
        <v>yes</v>
      </c>
    </row>
    <row r="349" spans="1:13" x14ac:dyDescent="0.35">
      <c r="A349" s="7">
        <v>334</v>
      </c>
      <c r="B349" s="12">
        <f t="shared" si="56"/>
        <v>-1.5037732765676992E-6</v>
      </c>
      <c r="C349" s="12">
        <f t="shared" si="57"/>
        <v>49</v>
      </c>
      <c r="D349" s="12">
        <f t="shared" si="58"/>
        <v>0.74999909551417643</v>
      </c>
      <c r="E349" s="12">
        <f t="shared" si="59"/>
        <v>1.0173279108016686E-7</v>
      </c>
      <c r="F349" s="12">
        <f t="shared" si="60"/>
        <v>7</v>
      </c>
      <c r="G349" s="12">
        <f t="shared" si="61"/>
        <v>5.0002754150586019E-2</v>
      </c>
      <c r="H349" s="12">
        <f t="shared" si="62"/>
        <v>0</v>
      </c>
      <c r="I349" s="12">
        <f>2</f>
        <v>2</v>
      </c>
      <c r="J349" s="12">
        <f t="shared" si="63"/>
        <v>0.54999903447450382</v>
      </c>
      <c r="K349" s="12">
        <f t="shared" si="55"/>
        <v>1.2500000000820164E-2</v>
      </c>
      <c r="L349" s="12">
        <f t="shared" si="64"/>
        <v>0</v>
      </c>
      <c r="M349" s="7" t="str">
        <f t="shared" si="65"/>
        <v>yes</v>
      </c>
    </row>
    <row r="350" spans="1:13" x14ac:dyDescent="0.35">
      <c r="A350" s="7">
        <v>335</v>
      </c>
      <c r="B350" s="12">
        <f t="shared" si="56"/>
        <v>-1.5037732765676992E-6</v>
      </c>
      <c r="C350" s="12">
        <f t="shared" si="57"/>
        <v>49</v>
      </c>
      <c r="D350" s="12">
        <f t="shared" si="58"/>
        <v>0.74999909551417643</v>
      </c>
      <c r="E350" s="12">
        <f t="shared" si="59"/>
        <v>1.0173279108016686E-7</v>
      </c>
      <c r="F350" s="12">
        <f t="shared" si="60"/>
        <v>7</v>
      </c>
      <c r="G350" s="12">
        <f t="shared" si="61"/>
        <v>5.0002754150586019E-2</v>
      </c>
      <c r="H350" s="12">
        <f t="shared" si="62"/>
        <v>0</v>
      </c>
      <c r="I350" s="12">
        <f>2</f>
        <v>2</v>
      </c>
      <c r="J350" s="12">
        <f t="shared" si="63"/>
        <v>0.54999903447450382</v>
      </c>
      <c r="K350" s="12">
        <f t="shared" si="55"/>
        <v>1.2500000000820164E-2</v>
      </c>
      <c r="L350" s="12">
        <f t="shared" si="64"/>
        <v>0</v>
      </c>
      <c r="M350" s="7" t="str">
        <f t="shared" si="65"/>
        <v>yes</v>
      </c>
    </row>
    <row r="351" spans="1:13" x14ac:dyDescent="0.35">
      <c r="A351" s="7">
        <v>336</v>
      </c>
      <c r="B351" s="12">
        <f t="shared" si="56"/>
        <v>-1.5037732765676992E-6</v>
      </c>
      <c r="C351" s="12">
        <f t="shared" si="57"/>
        <v>49</v>
      </c>
      <c r="D351" s="12">
        <f t="shared" si="58"/>
        <v>0.74999909551417643</v>
      </c>
      <c r="E351" s="12">
        <f t="shared" si="59"/>
        <v>1.0173279108016686E-7</v>
      </c>
      <c r="F351" s="12">
        <f t="shared" si="60"/>
        <v>7</v>
      </c>
      <c r="G351" s="12">
        <f t="shared" si="61"/>
        <v>5.0002754150586019E-2</v>
      </c>
      <c r="H351" s="12">
        <f t="shared" si="62"/>
        <v>0</v>
      </c>
      <c r="I351" s="12">
        <f>2</f>
        <v>2</v>
      </c>
      <c r="J351" s="12">
        <f t="shared" si="63"/>
        <v>0.54999903447450382</v>
      </c>
      <c r="K351" s="12">
        <f t="shared" si="55"/>
        <v>1.2500000000820164E-2</v>
      </c>
      <c r="L351" s="12">
        <f t="shared" si="64"/>
        <v>0</v>
      </c>
      <c r="M351" s="7" t="str">
        <f t="shared" si="65"/>
        <v>yes</v>
      </c>
    </row>
    <row r="352" spans="1:13" x14ac:dyDescent="0.35">
      <c r="A352" s="7">
        <v>337</v>
      </c>
      <c r="B352" s="12">
        <f t="shared" si="56"/>
        <v>-1.5037732765676992E-6</v>
      </c>
      <c r="C352" s="12">
        <f t="shared" si="57"/>
        <v>49</v>
      </c>
      <c r="D352" s="12">
        <f t="shared" si="58"/>
        <v>0.74999909551417643</v>
      </c>
      <c r="E352" s="12">
        <f t="shared" si="59"/>
        <v>1.0173279108016686E-7</v>
      </c>
      <c r="F352" s="12">
        <f t="shared" si="60"/>
        <v>7</v>
      </c>
      <c r="G352" s="12">
        <f t="shared" si="61"/>
        <v>5.0002754150586019E-2</v>
      </c>
      <c r="H352" s="12">
        <f t="shared" si="62"/>
        <v>0</v>
      </c>
      <c r="I352" s="12">
        <f>2</f>
        <v>2</v>
      </c>
      <c r="J352" s="12">
        <f t="shared" si="63"/>
        <v>0.54999903447450382</v>
      </c>
      <c r="K352" s="12">
        <f t="shared" si="55"/>
        <v>1.2500000000820164E-2</v>
      </c>
      <c r="L352" s="12">
        <f t="shared" si="64"/>
        <v>0</v>
      </c>
      <c r="M352" s="7" t="str">
        <f t="shared" si="65"/>
        <v>yes</v>
      </c>
    </row>
    <row r="353" spans="1:13" x14ac:dyDescent="0.35">
      <c r="A353" s="7">
        <v>338</v>
      </c>
      <c r="B353" s="12">
        <f t="shared" si="56"/>
        <v>-1.5037732765676992E-6</v>
      </c>
      <c r="C353" s="12">
        <f t="shared" si="57"/>
        <v>49</v>
      </c>
      <c r="D353" s="12">
        <f t="shared" si="58"/>
        <v>0.74999909551417643</v>
      </c>
      <c r="E353" s="12">
        <f t="shared" si="59"/>
        <v>1.0173279108016686E-7</v>
      </c>
      <c r="F353" s="12">
        <f t="shared" si="60"/>
        <v>7</v>
      </c>
      <c r="G353" s="12">
        <f t="shared" si="61"/>
        <v>5.0002754150586019E-2</v>
      </c>
      <c r="H353" s="12">
        <f t="shared" si="62"/>
        <v>0</v>
      </c>
      <c r="I353" s="12">
        <f>2</f>
        <v>2</v>
      </c>
      <c r="J353" s="12">
        <f t="shared" si="63"/>
        <v>0.54999903447450382</v>
      </c>
      <c r="K353" s="12">
        <f t="shared" si="55"/>
        <v>1.2500000000820164E-2</v>
      </c>
      <c r="L353" s="12">
        <f t="shared" si="64"/>
        <v>0</v>
      </c>
      <c r="M353" s="7" t="str">
        <f t="shared" si="65"/>
        <v>yes</v>
      </c>
    </row>
    <row r="354" spans="1:13" x14ac:dyDescent="0.35">
      <c r="A354" s="7">
        <v>339</v>
      </c>
      <c r="B354" s="12">
        <f t="shared" si="56"/>
        <v>-1.5037732765676992E-6</v>
      </c>
      <c r="C354" s="12">
        <f t="shared" si="57"/>
        <v>49</v>
      </c>
      <c r="D354" s="12">
        <f t="shared" si="58"/>
        <v>0.74999909551417643</v>
      </c>
      <c r="E354" s="12">
        <f t="shared" si="59"/>
        <v>1.0173279108016686E-7</v>
      </c>
      <c r="F354" s="12">
        <f t="shared" si="60"/>
        <v>7</v>
      </c>
      <c r="G354" s="12">
        <f t="shared" si="61"/>
        <v>5.0002754150586019E-2</v>
      </c>
      <c r="H354" s="12">
        <f t="shared" si="62"/>
        <v>0</v>
      </c>
      <c r="I354" s="12">
        <f>2</f>
        <v>2</v>
      </c>
      <c r="J354" s="12">
        <f t="shared" si="63"/>
        <v>0.54999903447450382</v>
      </c>
      <c r="K354" s="12">
        <f t="shared" si="55"/>
        <v>1.2500000000820164E-2</v>
      </c>
      <c r="L354" s="12">
        <f t="shared" si="64"/>
        <v>0</v>
      </c>
      <c r="M354" s="7" t="str">
        <f t="shared" si="65"/>
        <v>yes</v>
      </c>
    </row>
    <row r="355" spans="1:13" x14ac:dyDescent="0.35">
      <c r="A355" s="7">
        <v>340</v>
      </c>
      <c r="B355" s="12">
        <f t="shared" si="56"/>
        <v>-1.5037732765676992E-6</v>
      </c>
      <c r="C355" s="12">
        <f t="shared" si="57"/>
        <v>49</v>
      </c>
      <c r="D355" s="12">
        <f t="shared" si="58"/>
        <v>0.74999909551417643</v>
      </c>
      <c r="E355" s="12">
        <f t="shared" si="59"/>
        <v>1.0173279108016686E-7</v>
      </c>
      <c r="F355" s="12">
        <f t="shared" si="60"/>
        <v>7</v>
      </c>
      <c r="G355" s="12">
        <f t="shared" si="61"/>
        <v>5.0002754150586019E-2</v>
      </c>
      <c r="H355" s="12">
        <f t="shared" si="62"/>
        <v>0</v>
      </c>
      <c r="I355" s="12">
        <f>2</f>
        <v>2</v>
      </c>
      <c r="J355" s="12">
        <f t="shared" si="63"/>
        <v>0.54999903447450382</v>
      </c>
      <c r="K355" s="12">
        <f t="shared" si="55"/>
        <v>1.2500000000820164E-2</v>
      </c>
      <c r="L355" s="12">
        <f t="shared" si="64"/>
        <v>0</v>
      </c>
      <c r="M355" s="7" t="str">
        <f t="shared" si="65"/>
        <v>yes</v>
      </c>
    </row>
    <row r="356" spans="1:13" x14ac:dyDescent="0.35">
      <c r="A356" s="7">
        <v>341</v>
      </c>
      <c r="B356" s="12">
        <f t="shared" si="56"/>
        <v>-1.5037732765676992E-6</v>
      </c>
      <c r="C356" s="12">
        <f t="shared" si="57"/>
        <v>49</v>
      </c>
      <c r="D356" s="12">
        <f t="shared" si="58"/>
        <v>0.74999909551417643</v>
      </c>
      <c r="E356" s="12">
        <f t="shared" si="59"/>
        <v>1.0173279108016686E-7</v>
      </c>
      <c r="F356" s="12">
        <f t="shared" si="60"/>
        <v>7</v>
      </c>
      <c r="G356" s="12">
        <f t="shared" si="61"/>
        <v>5.0002754150586019E-2</v>
      </c>
      <c r="H356" s="12">
        <f t="shared" si="62"/>
        <v>0</v>
      </c>
      <c r="I356" s="12">
        <f>2</f>
        <v>2</v>
      </c>
      <c r="J356" s="12">
        <f t="shared" si="63"/>
        <v>0.54999903447450382</v>
      </c>
      <c r="K356" s="12">
        <f t="shared" si="55"/>
        <v>1.2500000000820164E-2</v>
      </c>
      <c r="L356" s="12">
        <f t="shared" si="64"/>
        <v>0</v>
      </c>
      <c r="M356" s="7" t="str">
        <f t="shared" si="65"/>
        <v>yes</v>
      </c>
    </row>
    <row r="357" spans="1:13" x14ac:dyDescent="0.35">
      <c r="A357" s="7">
        <v>342</v>
      </c>
      <c r="B357" s="12">
        <f t="shared" si="56"/>
        <v>-1.5037732765676992E-6</v>
      </c>
      <c r="C357" s="12">
        <f t="shared" si="57"/>
        <v>49</v>
      </c>
      <c r="D357" s="12">
        <f t="shared" si="58"/>
        <v>0.74999909551417643</v>
      </c>
      <c r="E357" s="12">
        <f t="shared" si="59"/>
        <v>1.0173279108016686E-7</v>
      </c>
      <c r="F357" s="12">
        <f t="shared" si="60"/>
        <v>7</v>
      </c>
      <c r="G357" s="12">
        <f t="shared" si="61"/>
        <v>5.0002754150586019E-2</v>
      </c>
      <c r="H357" s="12">
        <f t="shared" si="62"/>
        <v>0</v>
      </c>
      <c r="I357" s="12">
        <f>2</f>
        <v>2</v>
      </c>
      <c r="J357" s="12">
        <f t="shared" si="63"/>
        <v>0.54999903447450382</v>
      </c>
      <c r="K357" s="12">
        <f t="shared" si="55"/>
        <v>1.2500000000820164E-2</v>
      </c>
      <c r="L357" s="12">
        <f t="shared" si="64"/>
        <v>0</v>
      </c>
      <c r="M357" s="7" t="str">
        <f t="shared" si="65"/>
        <v>yes</v>
      </c>
    </row>
    <row r="358" spans="1:13" x14ac:dyDescent="0.35">
      <c r="A358" s="7">
        <v>343</v>
      </c>
      <c r="B358" s="12">
        <f t="shared" si="56"/>
        <v>-1.5037732765676992E-6</v>
      </c>
      <c r="C358" s="12">
        <f t="shared" si="57"/>
        <v>49</v>
      </c>
      <c r="D358" s="12">
        <f t="shared" si="58"/>
        <v>0.74999909551417643</v>
      </c>
      <c r="E358" s="12">
        <f t="shared" si="59"/>
        <v>1.0173279108016686E-7</v>
      </c>
      <c r="F358" s="12">
        <f t="shared" si="60"/>
        <v>7</v>
      </c>
      <c r="G358" s="12">
        <f t="shared" si="61"/>
        <v>5.0002754150586019E-2</v>
      </c>
      <c r="H358" s="12">
        <f t="shared" si="62"/>
        <v>0</v>
      </c>
      <c r="I358" s="12">
        <f>2</f>
        <v>2</v>
      </c>
      <c r="J358" s="12">
        <f t="shared" si="63"/>
        <v>0.54999903447450382</v>
      </c>
      <c r="K358" s="12">
        <f t="shared" si="55"/>
        <v>1.2500000000820164E-2</v>
      </c>
      <c r="L358" s="12">
        <f t="shared" si="64"/>
        <v>0</v>
      </c>
      <c r="M358" s="7" t="str">
        <f t="shared" si="65"/>
        <v>yes</v>
      </c>
    </row>
    <row r="359" spans="1:13" x14ac:dyDescent="0.35">
      <c r="A359" s="7">
        <v>344</v>
      </c>
      <c r="B359" s="12">
        <f t="shared" si="56"/>
        <v>-1.5037732765676992E-6</v>
      </c>
      <c r="C359" s="12">
        <f t="shared" si="57"/>
        <v>49</v>
      </c>
      <c r="D359" s="12">
        <f t="shared" si="58"/>
        <v>0.74999909551417643</v>
      </c>
      <c r="E359" s="12">
        <f t="shared" si="59"/>
        <v>1.0173279108016686E-7</v>
      </c>
      <c r="F359" s="12">
        <f t="shared" si="60"/>
        <v>7</v>
      </c>
      <c r="G359" s="12">
        <f t="shared" si="61"/>
        <v>5.0002754150586019E-2</v>
      </c>
      <c r="H359" s="12">
        <f t="shared" si="62"/>
        <v>0</v>
      </c>
      <c r="I359" s="12">
        <f>2</f>
        <v>2</v>
      </c>
      <c r="J359" s="12">
        <f t="shared" si="63"/>
        <v>0.54999903447450382</v>
      </c>
      <c r="K359" s="12">
        <f t="shared" si="55"/>
        <v>1.2500000000820164E-2</v>
      </c>
      <c r="L359" s="12">
        <f t="shared" si="64"/>
        <v>0</v>
      </c>
      <c r="M359" s="7" t="str">
        <f t="shared" si="65"/>
        <v>yes</v>
      </c>
    </row>
    <row r="360" spans="1:13" x14ac:dyDescent="0.35">
      <c r="A360" s="7">
        <v>345</v>
      </c>
      <c r="B360" s="12">
        <f t="shared" si="56"/>
        <v>-1.5037732765676992E-6</v>
      </c>
      <c r="C360" s="12">
        <f t="shared" si="57"/>
        <v>49</v>
      </c>
      <c r="D360" s="12">
        <f t="shared" si="58"/>
        <v>0.74999909551417643</v>
      </c>
      <c r="E360" s="12">
        <f t="shared" si="59"/>
        <v>1.0173279108016686E-7</v>
      </c>
      <c r="F360" s="12">
        <f t="shared" si="60"/>
        <v>7</v>
      </c>
      <c r="G360" s="12">
        <f t="shared" si="61"/>
        <v>5.0002754150586019E-2</v>
      </c>
      <c r="H360" s="12">
        <f t="shared" si="62"/>
        <v>0</v>
      </c>
      <c r="I360" s="12">
        <f>2</f>
        <v>2</v>
      </c>
      <c r="J360" s="12">
        <f t="shared" si="63"/>
        <v>0.54999903447450382</v>
      </c>
      <c r="K360" s="12">
        <f t="shared" si="55"/>
        <v>1.2500000000820164E-2</v>
      </c>
      <c r="L360" s="12">
        <f t="shared" si="64"/>
        <v>0</v>
      </c>
      <c r="M360" s="7" t="str">
        <f t="shared" si="65"/>
        <v>yes</v>
      </c>
    </row>
    <row r="361" spans="1:13" x14ac:dyDescent="0.35">
      <c r="A361" s="7">
        <v>346</v>
      </c>
      <c r="B361" s="12">
        <f t="shared" si="56"/>
        <v>-1.5037732765676992E-6</v>
      </c>
      <c r="C361" s="12">
        <f t="shared" si="57"/>
        <v>49</v>
      </c>
      <c r="D361" s="12">
        <f t="shared" si="58"/>
        <v>0.74999909551417643</v>
      </c>
      <c r="E361" s="12">
        <f t="shared" si="59"/>
        <v>1.0173279108016686E-7</v>
      </c>
      <c r="F361" s="12">
        <f t="shared" si="60"/>
        <v>7</v>
      </c>
      <c r="G361" s="12">
        <f t="shared" si="61"/>
        <v>5.0002754150586019E-2</v>
      </c>
      <c r="H361" s="12">
        <f t="shared" si="62"/>
        <v>0</v>
      </c>
      <c r="I361" s="12">
        <f>2</f>
        <v>2</v>
      </c>
      <c r="J361" s="12">
        <f t="shared" si="63"/>
        <v>0.54999903447450382</v>
      </c>
      <c r="K361" s="12">
        <f t="shared" si="55"/>
        <v>1.2500000000820164E-2</v>
      </c>
      <c r="L361" s="12">
        <f t="shared" si="64"/>
        <v>0</v>
      </c>
      <c r="M361" s="7" t="str">
        <f t="shared" si="65"/>
        <v>yes</v>
      </c>
    </row>
    <row r="362" spans="1:13" x14ac:dyDescent="0.35">
      <c r="A362" s="7">
        <v>347</v>
      </c>
      <c r="B362" s="12">
        <f t="shared" si="56"/>
        <v>-1.5037732765676992E-6</v>
      </c>
      <c r="C362" s="12">
        <f t="shared" si="57"/>
        <v>49</v>
      </c>
      <c r="D362" s="12">
        <f t="shared" si="58"/>
        <v>0.74999909551417643</v>
      </c>
      <c r="E362" s="12">
        <f t="shared" si="59"/>
        <v>1.0173279108016686E-7</v>
      </c>
      <c r="F362" s="12">
        <f t="shared" si="60"/>
        <v>7</v>
      </c>
      <c r="G362" s="12">
        <f t="shared" si="61"/>
        <v>5.0002754150586019E-2</v>
      </c>
      <c r="H362" s="12">
        <f t="shared" si="62"/>
        <v>0</v>
      </c>
      <c r="I362" s="12">
        <f>2</f>
        <v>2</v>
      </c>
      <c r="J362" s="12">
        <f t="shared" si="63"/>
        <v>0.54999903447450382</v>
      </c>
      <c r="K362" s="12">
        <f t="shared" si="55"/>
        <v>1.2500000000820164E-2</v>
      </c>
      <c r="L362" s="12">
        <f t="shared" si="64"/>
        <v>0</v>
      </c>
      <c r="M362" s="7" t="str">
        <f t="shared" si="65"/>
        <v>yes</v>
      </c>
    </row>
    <row r="363" spans="1:13" x14ac:dyDescent="0.35">
      <c r="A363" s="7">
        <v>348</v>
      </c>
      <c r="B363" s="12">
        <f t="shared" si="56"/>
        <v>-1.5037732765676992E-6</v>
      </c>
      <c r="C363" s="12">
        <f t="shared" si="57"/>
        <v>49</v>
      </c>
      <c r="D363" s="12">
        <f t="shared" si="58"/>
        <v>0.74999909551417643</v>
      </c>
      <c r="E363" s="12">
        <f t="shared" si="59"/>
        <v>1.0173279108016686E-7</v>
      </c>
      <c r="F363" s="12">
        <f t="shared" si="60"/>
        <v>7</v>
      </c>
      <c r="G363" s="12">
        <f t="shared" si="61"/>
        <v>5.0002754150586019E-2</v>
      </c>
      <c r="H363" s="12">
        <f t="shared" si="62"/>
        <v>0</v>
      </c>
      <c r="I363" s="12">
        <f>2</f>
        <v>2</v>
      </c>
      <c r="J363" s="12">
        <f t="shared" si="63"/>
        <v>0.54999903447450382</v>
      </c>
      <c r="K363" s="12">
        <f t="shared" si="55"/>
        <v>1.2500000000820164E-2</v>
      </c>
      <c r="L363" s="12">
        <f t="shared" si="64"/>
        <v>0</v>
      </c>
      <c r="M363" s="7" t="str">
        <f t="shared" si="65"/>
        <v>yes</v>
      </c>
    </row>
    <row r="364" spans="1:13" x14ac:dyDescent="0.35">
      <c r="A364" s="7">
        <v>349</v>
      </c>
      <c r="B364" s="12">
        <f t="shared" si="56"/>
        <v>-1.5037732765676992E-6</v>
      </c>
      <c r="C364" s="12">
        <f t="shared" si="57"/>
        <v>49</v>
      </c>
      <c r="D364" s="12">
        <f t="shared" si="58"/>
        <v>0.74999909551417643</v>
      </c>
      <c r="E364" s="12">
        <f t="shared" si="59"/>
        <v>1.0173279108016686E-7</v>
      </c>
      <c r="F364" s="12">
        <f t="shared" si="60"/>
        <v>7</v>
      </c>
      <c r="G364" s="12">
        <f t="shared" si="61"/>
        <v>5.0002754150586019E-2</v>
      </c>
      <c r="H364" s="12">
        <f t="shared" si="62"/>
        <v>0</v>
      </c>
      <c r="I364" s="12">
        <f>2</f>
        <v>2</v>
      </c>
      <c r="J364" s="12">
        <f t="shared" si="63"/>
        <v>0.54999903447450382</v>
      </c>
      <c r="K364" s="12">
        <f t="shared" si="55"/>
        <v>1.2500000000820164E-2</v>
      </c>
      <c r="L364" s="12">
        <f t="shared" si="64"/>
        <v>0</v>
      </c>
      <c r="M364" s="7" t="str">
        <f t="shared" si="65"/>
        <v>yes</v>
      </c>
    </row>
    <row r="365" spans="1:13" x14ac:dyDescent="0.35">
      <c r="A365" s="7">
        <v>350</v>
      </c>
      <c r="B365" s="12">
        <f t="shared" si="56"/>
        <v>-1.5037732765676992E-6</v>
      </c>
      <c r="C365" s="12">
        <f t="shared" si="57"/>
        <v>49</v>
      </c>
      <c r="D365" s="12">
        <f t="shared" si="58"/>
        <v>0.74999909551417643</v>
      </c>
      <c r="E365" s="12">
        <f t="shared" si="59"/>
        <v>1.0173279108016686E-7</v>
      </c>
      <c r="F365" s="12">
        <f t="shared" si="60"/>
        <v>7</v>
      </c>
      <c r="G365" s="12">
        <f t="shared" si="61"/>
        <v>5.0002754150586019E-2</v>
      </c>
      <c r="H365" s="12">
        <f t="shared" si="62"/>
        <v>0</v>
      </c>
      <c r="I365" s="12">
        <f>2</f>
        <v>2</v>
      </c>
      <c r="J365" s="12">
        <f t="shared" si="63"/>
        <v>0.54999903447450382</v>
      </c>
      <c r="K365" s="12">
        <f t="shared" si="55"/>
        <v>1.2500000000820164E-2</v>
      </c>
      <c r="L365" s="12">
        <f t="shared" si="64"/>
        <v>0</v>
      </c>
      <c r="M365" s="7" t="str">
        <f t="shared" si="65"/>
        <v>yes</v>
      </c>
    </row>
    <row r="366" spans="1:13" x14ac:dyDescent="0.35">
      <c r="A366" s="7">
        <v>351</v>
      </c>
      <c r="B366" s="12">
        <f t="shared" si="56"/>
        <v>-1.5037732765676992E-6</v>
      </c>
      <c r="C366" s="12">
        <f t="shared" si="57"/>
        <v>49</v>
      </c>
      <c r="D366" s="12">
        <f t="shared" si="58"/>
        <v>0.74999909551417643</v>
      </c>
      <c r="E366" s="12">
        <f t="shared" si="59"/>
        <v>1.0173279108016686E-7</v>
      </c>
      <c r="F366" s="12">
        <f t="shared" si="60"/>
        <v>7</v>
      </c>
      <c r="G366" s="12">
        <f t="shared" si="61"/>
        <v>5.0002754150586019E-2</v>
      </c>
      <c r="H366" s="12">
        <f t="shared" si="62"/>
        <v>0</v>
      </c>
      <c r="I366" s="12">
        <f>2</f>
        <v>2</v>
      </c>
      <c r="J366" s="12">
        <f t="shared" si="63"/>
        <v>0.54999903447450382</v>
      </c>
      <c r="K366" s="12">
        <f t="shared" si="55"/>
        <v>1.2500000000820164E-2</v>
      </c>
      <c r="L366" s="12">
        <f t="shared" si="64"/>
        <v>0</v>
      </c>
      <c r="M366" s="7" t="str">
        <f t="shared" si="65"/>
        <v>yes</v>
      </c>
    </row>
    <row r="367" spans="1:13" x14ac:dyDescent="0.35">
      <c r="A367" s="7">
        <v>352</v>
      </c>
      <c r="B367" s="12">
        <f t="shared" si="56"/>
        <v>-1.5037732765676992E-6</v>
      </c>
      <c r="C367" s="12">
        <f t="shared" si="57"/>
        <v>49</v>
      </c>
      <c r="D367" s="12">
        <f t="shared" si="58"/>
        <v>0.74999909551417643</v>
      </c>
      <c r="E367" s="12">
        <f t="shared" si="59"/>
        <v>1.0173279108016686E-7</v>
      </c>
      <c r="F367" s="12">
        <f t="shared" si="60"/>
        <v>7</v>
      </c>
      <c r="G367" s="12">
        <f t="shared" si="61"/>
        <v>5.0002754150586019E-2</v>
      </c>
      <c r="H367" s="12">
        <f t="shared" si="62"/>
        <v>0</v>
      </c>
      <c r="I367" s="12">
        <f>2</f>
        <v>2</v>
      </c>
      <c r="J367" s="12">
        <f t="shared" si="63"/>
        <v>0.54999903447450382</v>
      </c>
      <c r="K367" s="12">
        <f t="shared" si="55"/>
        <v>1.2500000000820164E-2</v>
      </c>
      <c r="L367" s="12">
        <f t="shared" si="64"/>
        <v>0</v>
      </c>
      <c r="M367" s="7" t="str">
        <f t="shared" si="65"/>
        <v>yes</v>
      </c>
    </row>
    <row r="368" spans="1:13" x14ac:dyDescent="0.35">
      <c r="A368" s="7">
        <v>353</v>
      </c>
      <c r="B368" s="12">
        <f t="shared" si="56"/>
        <v>-1.5037732765676992E-6</v>
      </c>
      <c r="C368" s="12">
        <f t="shared" si="57"/>
        <v>49</v>
      </c>
      <c r="D368" s="12">
        <f t="shared" si="58"/>
        <v>0.74999909551417643</v>
      </c>
      <c r="E368" s="12">
        <f t="shared" si="59"/>
        <v>1.0173279108016686E-7</v>
      </c>
      <c r="F368" s="12">
        <f t="shared" si="60"/>
        <v>7</v>
      </c>
      <c r="G368" s="12">
        <f t="shared" si="61"/>
        <v>5.0002754150586019E-2</v>
      </c>
      <c r="H368" s="12">
        <f t="shared" si="62"/>
        <v>0</v>
      </c>
      <c r="I368" s="12">
        <f>2</f>
        <v>2</v>
      </c>
      <c r="J368" s="12">
        <f t="shared" si="63"/>
        <v>0.54999903447450382</v>
      </c>
      <c r="K368" s="12">
        <f t="shared" si="55"/>
        <v>1.2500000000820164E-2</v>
      </c>
      <c r="L368" s="12">
        <f t="shared" si="64"/>
        <v>0</v>
      </c>
      <c r="M368" s="7" t="str">
        <f t="shared" si="65"/>
        <v>yes</v>
      </c>
    </row>
    <row r="369" spans="1:13" x14ac:dyDescent="0.35">
      <c r="A369" s="7">
        <v>354</v>
      </c>
      <c r="B369" s="12">
        <f t="shared" si="56"/>
        <v>-1.5037732765676992E-6</v>
      </c>
      <c r="C369" s="12">
        <f t="shared" si="57"/>
        <v>49</v>
      </c>
      <c r="D369" s="12">
        <f t="shared" si="58"/>
        <v>0.74999909551417643</v>
      </c>
      <c r="E369" s="12">
        <f t="shared" si="59"/>
        <v>1.0173279108016686E-7</v>
      </c>
      <c r="F369" s="12">
        <f t="shared" si="60"/>
        <v>7</v>
      </c>
      <c r="G369" s="12">
        <f t="shared" si="61"/>
        <v>5.0002754150586019E-2</v>
      </c>
      <c r="H369" s="12">
        <f t="shared" si="62"/>
        <v>0</v>
      </c>
      <c r="I369" s="12">
        <f>2</f>
        <v>2</v>
      </c>
      <c r="J369" s="12">
        <f t="shared" si="63"/>
        <v>0.54999903447450382</v>
      </c>
      <c r="K369" s="12">
        <f t="shared" si="55"/>
        <v>1.2500000000820164E-2</v>
      </c>
      <c r="L369" s="12">
        <f t="shared" si="64"/>
        <v>0</v>
      </c>
      <c r="M369" s="7" t="str">
        <f t="shared" si="65"/>
        <v>yes</v>
      </c>
    </row>
    <row r="370" spans="1:13" x14ac:dyDescent="0.35">
      <c r="A370" s="7">
        <v>355</v>
      </c>
      <c r="B370" s="12">
        <f t="shared" si="56"/>
        <v>-1.5037732765676992E-6</v>
      </c>
      <c r="C370" s="12">
        <f t="shared" si="57"/>
        <v>49</v>
      </c>
      <c r="D370" s="12">
        <f t="shared" si="58"/>
        <v>0.74999909551417643</v>
      </c>
      <c r="E370" s="12">
        <f t="shared" si="59"/>
        <v>1.0173279108016686E-7</v>
      </c>
      <c r="F370" s="12">
        <f t="shared" si="60"/>
        <v>7</v>
      </c>
      <c r="G370" s="12">
        <f t="shared" si="61"/>
        <v>5.0002754150586019E-2</v>
      </c>
      <c r="H370" s="12">
        <f t="shared" si="62"/>
        <v>0</v>
      </c>
      <c r="I370" s="12">
        <f>2</f>
        <v>2</v>
      </c>
      <c r="J370" s="12">
        <f t="shared" si="63"/>
        <v>0.54999903447450382</v>
      </c>
      <c r="K370" s="12">
        <f t="shared" si="55"/>
        <v>1.2500000000820164E-2</v>
      </c>
      <c r="L370" s="12">
        <f t="shared" si="64"/>
        <v>0</v>
      </c>
      <c r="M370" s="7" t="str">
        <f t="shared" si="65"/>
        <v>yes</v>
      </c>
    </row>
    <row r="371" spans="1:13" x14ac:dyDescent="0.35">
      <c r="A371" s="7">
        <v>356</v>
      </c>
      <c r="B371" s="12">
        <f t="shared" si="56"/>
        <v>-1.5037732765676992E-6</v>
      </c>
      <c r="C371" s="12">
        <f t="shared" si="57"/>
        <v>49</v>
      </c>
      <c r="D371" s="12">
        <f t="shared" si="58"/>
        <v>0.74999909551417643</v>
      </c>
      <c r="E371" s="12">
        <f t="shared" si="59"/>
        <v>1.0173279108016686E-7</v>
      </c>
      <c r="F371" s="12">
        <f t="shared" si="60"/>
        <v>7</v>
      </c>
      <c r="G371" s="12">
        <f t="shared" si="61"/>
        <v>5.0002754150586019E-2</v>
      </c>
      <c r="H371" s="12">
        <f t="shared" si="62"/>
        <v>0</v>
      </c>
      <c r="I371" s="12">
        <f>2</f>
        <v>2</v>
      </c>
      <c r="J371" s="12">
        <f t="shared" si="63"/>
        <v>0.54999903447450382</v>
      </c>
      <c r="K371" s="12">
        <f t="shared" si="55"/>
        <v>1.2500000000820164E-2</v>
      </c>
      <c r="L371" s="12">
        <f t="shared" si="64"/>
        <v>0</v>
      </c>
      <c r="M371" s="7" t="str">
        <f t="shared" si="65"/>
        <v>yes</v>
      </c>
    </row>
    <row r="372" spans="1:13" x14ac:dyDescent="0.35">
      <c r="A372" s="7">
        <v>357</v>
      </c>
      <c r="B372" s="12">
        <f t="shared" si="56"/>
        <v>-1.5037732765676992E-6</v>
      </c>
      <c r="C372" s="12">
        <f t="shared" si="57"/>
        <v>49</v>
      </c>
      <c r="D372" s="12">
        <f t="shared" si="58"/>
        <v>0.74999909551417643</v>
      </c>
      <c r="E372" s="12">
        <f t="shared" si="59"/>
        <v>1.0173279108016686E-7</v>
      </c>
      <c r="F372" s="12">
        <f t="shared" si="60"/>
        <v>7</v>
      </c>
      <c r="G372" s="12">
        <f t="shared" si="61"/>
        <v>5.0002754150586019E-2</v>
      </c>
      <c r="H372" s="12">
        <f t="shared" si="62"/>
        <v>0</v>
      </c>
      <c r="I372" s="12">
        <f>2</f>
        <v>2</v>
      </c>
      <c r="J372" s="12">
        <f t="shared" si="63"/>
        <v>0.54999903447450382</v>
      </c>
      <c r="K372" s="12">
        <f t="shared" si="55"/>
        <v>1.2500000000820164E-2</v>
      </c>
      <c r="L372" s="12">
        <f t="shared" si="64"/>
        <v>0</v>
      </c>
      <c r="M372" s="7" t="str">
        <f t="shared" si="65"/>
        <v>yes</v>
      </c>
    </row>
    <row r="373" spans="1:13" x14ac:dyDescent="0.35">
      <c r="A373" s="7">
        <v>358</v>
      </c>
      <c r="B373" s="12">
        <f t="shared" si="56"/>
        <v>-1.5037732765676992E-6</v>
      </c>
      <c r="C373" s="12">
        <f t="shared" si="57"/>
        <v>49</v>
      </c>
      <c r="D373" s="12">
        <f t="shared" si="58"/>
        <v>0.74999909551417643</v>
      </c>
      <c r="E373" s="12">
        <f t="shared" si="59"/>
        <v>1.0173279108016686E-7</v>
      </c>
      <c r="F373" s="12">
        <f t="shared" si="60"/>
        <v>7</v>
      </c>
      <c r="G373" s="12">
        <f t="shared" si="61"/>
        <v>5.0002754150586019E-2</v>
      </c>
      <c r="H373" s="12">
        <f t="shared" si="62"/>
        <v>0</v>
      </c>
      <c r="I373" s="12">
        <f>2</f>
        <v>2</v>
      </c>
      <c r="J373" s="12">
        <f t="shared" si="63"/>
        <v>0.54999903447450382</v>
      </c>
      <c r="K373" s="12">
        <f t="shared" si="55"/>
        <v>1.2500000000820164E-2</v>
      </c>
      <c r="L373" s="12">
        <f t="shared" si="64"/>
        <v>0</v>
      </c>
      <c r="M373" s="7" t="str">
        <f t="shared" si="65"/>
        <v>yes</v>
      </c>
    </row>
    <row r="374" spans="1:13" x14ac:dyDescent="0.35">
      <c r="A374" s="7">
        <v>359</v>
      </c>
      <c r="B374" s="12">
        <f t="shared" si="56"/>
        <v>-1.5037732765676992E-6</v>
      </c>
      <c r="C374" s="12">
        <f t="shared" si="57"/>
        <v>49</v>
      </c>
      <c r="D374" s="12">
        <f t="shared" si="58"/>
        <v>0.74999909551417643</v>
      </c>
      <c r="E374" s="12">
        <f t="shared" si="59"/>
        <v>1.0173279108016686E-7</v>
      </c>
      <c r="F374" s="12">
        <f t="shared" si="60"/>
        <v>7</v>
      </c>
      <c r="G374" s="12">
        <f t="shared" si="61"/>
        <v>5.0002754150586019E-2</v>
      </c>
      <c r="H374" s="12">
        <f t="shared" si="62"/>
        <v>0</v>
      </c>
      <c r="I374" s="12">
        <f>2</f>
        <v>2</v>
      </c>
      <c r="J374" s="12">
        <f t="shared" si="63"/>
        <v>0.54999903447450382</v>
      </c>
      <c r="K374" s="12">
        <f t="shared" si="55"/>
        <v>1.2500000000820164E-2</v>
      </c>
      <c r="L374" s="12">
        <f t="shared" si="64"/>
        <v>0</v>
      </c>
      <c r="M374" s="7" t="str">
        <f t="shared" si="65"/>
        <v>yes</v>
      </c>
    </row>
    <row r="375" spans="1:13" x14ac:dyDescent="0.35">
      <c r="A375" s="7">
        <v>360</v>
      </c>
      <c r="B375" s="12">
        <f t="shared" si="56"/>
        <v>-1.5037732765676992E-6</v>
      </c>
      <c r="C375" s="12">
        <f t="shared" si="57"/>
        <v>49</v>
      </c>
      <c r="D375" s="12">
        <f t="shared" si="58"/>
        <v>0.74999909551417643</v>
      </c>
      <c r="E375" s="12">
        <f t="shared" si="59"/>
        <v>1.0173279108016686E-7</v>
      </c>
      <c r="F375" s="12">
        <f t="shared" si="60"/>
        <v>7</v>
      </c>
      <c r="G375" s="12">
        <f t="shared" si="61"/>
        <v>5.0002754150586019E-2</v>
      </c>
      <c r="H375" s="12">
        <f t="shared" si="62"/>
        <v>0</v>
      </c>
      <c r="I375" s="12">
        <f>2</f>
        <v>2</v>
      </c>
      <c r="J375" s="12">
        <f t="shared" si="63"/>
        <v>0.54999903447450382</v>
      </c>
      <c r="K375" s="12">
        <f t="shared" si="55"/>
        <v>1.2500000000820164E-2</v>
      </c>
      <c r="L375" s="12">
        <f t="shared" si="64"/>
        <v>0</v>
      </c>
      <c r="M375" s="7" t="str">
        <f t="shared" si="65"/>
        <v>yes</v>
      </c>
    </row>
    <row r="376" spans="1:13" x14ac:dyDescent="0.35">
      <c r="A376" s="7">
        <v>361</v>
      </c>
      <c r="B376" s="12">
        <f t="shared" si="56"/>
        <v>-1.5037732765676992E-6</v>
      </c>
      <c r="C376" s="12">
        <f t="shared" si="57"/>
        <v>49</v>
      </c>
      <c r="D376" s="12">
        <f t="shared" si="58"/>
        <v>0.74999909551417643</v>
      </c>
      <c r="E376" s="12">
        <f t="shared" si="59"/>
        <v>1.0173279108016686E-7</v>
      </c>
      <c r="F376" s="12">
        <f t="shared" si="60"/>
        <v>7</v>
      </c>
      <c r="G376" s="12">
        <f t="shared" si="61"/>
        <v>5.0002754150586019E-2</v>
      </c>
      <c r="H376" s="12">
        <f t="shared" si="62"/>
        <v>0</v>
      </c>
      <c r="I376" s="12">
        <f>2</f>
        <v>2</v>
      </c>
      <c r="J376" s="12">
        <f t="shared" si="63"/>
        <v>0.54999903447450382</v>
      </c>
      <c r="K376" s="12">
        <f t="shared" si="55"/>
        <v>1.2500000000820164E-2</v>
      </c>
      <c r="L376" s="12">
        <f t="shared" si="64"/>
        <v>0</v>
      </c>
      <c r="M376" s="7" t="str">
        <f t="shared" si="65"/>
        <v>yes</v>
      </c>
    </row>
    <row r="377" spans="1:13" x14ac:dyDescent="0.35">
      <c r="A377" s="7">
        <v>362</v>
      </c>
      <c r="B377" s="12">
        <f t="shared" si="56"/>
        <v>-1.5037732765676992E-6</v>
      </c>
      <c r="C377" s="12">
        <f t="shared" si="57"/>
        <v>49</v>
      </c>
      <c r="D377" s="12">
        <f t="shared" si="58"/>
        <v>0.74999909551417643</v>
      </c>
      <c r="E377" s="12">
        <f t="shared" si="59"/>
        <v>1.0173279108016686E-7</v>
      </c>
      <c r="F377" s="12">
        <f t="shared" si="60"/>
        <v>7</v>
      </c>
      <c r="G377" s="12">
        <f t="shared" si="61"/>
        <v>5.0002754150586019E-2</v>
      </c>
      <c r="H377" s="12">
        <f t="shared" si="62"/>
        <v>0</v>
      </c>
      <c r="I377" s="12">
        <f>2</f>
        <v>2</v>
      </c>
      <c r="J377" s="12">
        <f t="shared" si="63"/>
        <v>0.54999903447450382</v>
      </c>
      <c r="K377" s="12">
        <f t="shared" si="55"/>
        <v>1.2500000000820164E-2</v>
      </c>
      <c r="L377" s="12">
        <f t="shared" si="64"/>
        <v>0</v>
      </c>
      <c r="M377" s="7" t="str">
        <f t="shared" si="65"/>
        <v>yes</v>
      </c>
    </row>
    <row r="378" spans="1:13" x14ac:dyDescent="0.35">
      <c r="A378" s="7">
        <v>363</v>
      </c>
      <c r="B378" s="12">
        <f t="shared" si="56"/>
        <v>-1.5037732765676992E-6</v>
      </c>
      <c r="C378" s="12">
        <f t="shared" si="57"/>
        <v>49</v>
      </c>
      <c r="D378" s="12">
        <f t="shared" si="58"/>
        <v>0.74999909551417643</v>
      </c>
      <c r="E378" s="12">
        <f t="shared" si="59"/>
        <v>1.0173279108016686E-7</v>
      </c>
      <c r="F378" s="12">
        <f t="shared" si="60"/>
        <v>7</v>
      </c>
      <c r="G378" s="12">
        <f t="shared" si="61"/>
        <v>5.0002754150586019E-2</v>
      </c>
      <c r="H378" s="12">
        <f t="shared" si="62"/>
        <v>0</v>
      </c>
      <c r="I378" s="12">
        <f>2</f>
        <v>2</v>
      </c>
      <c r="J378" s="12">
        <f t="shared" si="63"/>
        <v>0.54999903447450382</v>
      </c>
      <c r="K378" s="12">
        <f t="shared" si="55"/>
        <v>1.2500000000820164E-2</v>
      </c>
      <c r="L378" s="12">
        <f t="shared" si="64"/>
        <v>0</v>
      </c>
      <c r="M378" s="7" t="str">
        <f t="shared" si="65"/>
        <v>yes</v>
      </c>
    </row>
    <row r="379" spans="1:13" x14ac:dyDescent="0.35">
      <c r="A379" s="7">
        <v>364</v>
      </c>
      <c r="B379" s="12">
        <f t="shared" si="56"/>
        <v>-1.5037732765676992E-6</v>
      </c>
      <c r="C379" s="12">
        <f t="shared" si="57"/>
        <v>49</v>
      </c>
      <c r="D379" s="12">
        <f t="shared" si="58"/>
        <v>0.74999909551417643</v>
      </c>
      <c r="E379" s="12">
        <f t="shared" si="59"/>
        <v>1.0173279108016686E-7</v>
      </c>
      <c r="F379" s="12">
        <f t="shared" si="60"/>
        <v>7</v>
      </c>
      <c r="G379" s="12">
        <f t="shared" si="61"/>
        <v>5.0002754150586019E-2</v>
      </c>
      <c r="H379" s="12">
        <f t="shared" si="62"/>
        <v>0</v>
      </c>
      <c r="I379" s="12">
        <f>2</f>
        <v>2</v>
      </c>
      <c r="J379" s="12">
        <f t="shared" si="63"/>
        <v>0.54999903447450382</v>
      </c>
      <c r="K379" s="12">
        <f t="shared" si="55"/>
        <v>1.2500000000820164E-2</v>
      </c>
      <c r="L379" s="12">
        <f t="shared" si="64"/>
        <v>0</v>
      </c>
      <c r="M379" s="7" t="str">
        <f t="shared" si="65"/>
        <v>yes</v>
      </c>
    </row>
    <row r="380" spans="1:13" x14ac:dyDescent="0.35">
      <c r="A380" s="7">
        <v>365</v>
      </c>
      <c r="B380" s="12">
        <f t="shared" si="56"/>
        <v>-1.5037732765676992E-6</v>
      </c>
      <c r="C380" s="12">
        <f t="shared" si="57"/>
        <v>49</v>
      </c>
      <c r="D380" s="12">
        <f t="shared" si="58"/>
        <v>0.74999909551417643</v>
      </c>
      <c r="E380" s="12">
        <f t="shared" si="59"/>
        <v>1.0173279108016686E-7</v>
      </c>
      <c r="F380" s="12">
        <f t="shared" si="60"/>
        <v>7</v>
      </c>
      <c r="G380" s="12">
        <f t="shared" si="61"/>
        <v>5.0002754150586019E-2</v>
      </c>
      <c r="H380" s="12">
        <f t="shared" si="62"/>
        <v>0</v>
      </c>
      <c r="I380" s="12">
        <f>2</f>
        <v>2</v>
      </c>
      <c r="J380" s="12">
        <f t="shared" si="63"/>
        <v>0.54999903447450382</v>
      </c>
      <c r="K380" s="12">
        <f t="shared" si="55"/>
        <v>1.2500000000820164E-2</v>
      </c>
      <c r="L380" s="12">
        <f t="shared" si="64"/>
        <v>0</v>
      </c>
      <c r="M380" s="7" t="str">
        <f t="shared" si="65"/>
        <v>yes</v>
      </c>
    </row>
    <row r="381" spans="1:13" x14ac:dyDescent="0.35">
      <c r="A381" s="7">
        <v>366</v>
      </c>
      <c r="B381" s="12">
        <f t="shared" si="56"/>
        <v>-1.5037732765676992E-6</v>
      </c>
      <c r="C381" s="12">
        <f t="shared" si="57"/>
        <v>49</v>
      </c>
      <c r="D381" s="12">
        <f t="shared" si="58"/>
        <v>0.74999909551417643</v>
      </c>
      <c r="E381" s="12">
        <f t="shared" si="59"/>
        <v>1.0173279108016686E-7</v>
      </c>
      <c r="F381" s="12">
        <f t="shared" si="60"/>
        <v>7</v>
      </c>
      <c r="G381" s="12">
        <f t="shared" si="61"/>
        <v>5.0002754150586019E-2</v>
      </c>
      <c r="H381" s="12">
        <f t="shared" si="62"/>
        <v>0</v>
      </c>
      <c r="I381" s="12">
        <f>2</f>
        <v>2</v>
      </c>
      <c r="J381" s="12">
        <f t="shared" si="63"/>
        <v>0.54999903447450382</v>
      </c>
      <c r="K381" s="12">
        <f t="shared" si="55"/>
        <v>1.2500000000820164E-2</v>
      </c>
      <c r="L381" s="12">
        <f t="shared" si="64"/>
        <v>0</v>
      </c>
      <c r="M381" s="7" t="str">
        <f t="shared" si="65"/>
        <v>yes</v>
      </c>
    </row>
    <row r="382" spans="1:13" x14ac:dyDescent="0.35">
      <c r="A382" s="7">
        <v>367</v>
      </c>
      <c r="B382" s="12">
        <f t="shared" si="56"/>
        <v>-1.5037732765676992E-6</v>
      </c>
      <c r="C382" s="12">
        <f t="shared" si="57"/>
        <v>49</v>
      </c>
      <c r="D382" s="12">
        <f t="shared" si="58"/>
        <v>0.74999909551417643</v>
      </c>
      <c r="E382" s="12">
        <f t="shared" si="59"/>
        <v>1.0173279108016686E-7</v>
      </c>
      <c r="F382" s="12">
        <f t="shared" si="60"/>
        <v>7</v>
      </c>
      <c r="G382" s="12">
        <f t="shared" si="61"/>
        <v>5.0002754150586019E-2</v>
      </c>
      <c r="H382" s="12">
        <f t="shared" si="62"/>
        <v>0</v>
      </c>
      <c r="I382" s="12">
        <f>2</f>
        <v>2</v>
      </c>
      <c r="J382" s="12">
        <f t="shared" si="63"/>
        <v>0.54999903447450382</v>
      </c>
      <c r="K382" s="12">
        <f t="shared" si="55"/>
        <v>1.2500000000820164E-2</v>
      </c>
      <c r="L382" s="12">
        <f t="shared" si="64"/>
        <v>0</v>
      </c>
      <c r="M382" s="7" t="str">
        <f t="shared" si="65"/>
        <v>yes</v>
      </c>
    </row>
    <row r="383" spans="1:13" x14ac:dyDescent="0.35">
      <c r="A383" s="7">
        <v>368</v>
      </c>
      <c r="B383" s="12">
        <f t="shared" si="56"/>
        <v>-1.5037732765676992E-6</v>
      </c>
      <c r="C383" s="12">
        <f t="shared" si="57"/>
        <v>49</v>
      </c>
      <c r="D383" s="12">
        <f t="shared" si="58"/>
        <v>0.74999909551417643</v>
      </c>
      <c r="E383" s="12">
        <f t="shared" si="59"/>
        <v>1.0173279108016686E-7</v>
      </c>
      <c r="F383" s="12">
        <f t="shared" si="60"/>
        <v>7</v>
      </c>
      <c r="G383" s="12">
        <f t="shared" si="61"/>
        <v>5.0002754150586019E-2</v>
      </c>
      <c r="H383" s="12">
        <f t="shared" si="62"/>
        <v>0</v>
      </c>
      <c r="I383" s="12">
        <f>2</f>
        <v>2</v>
      </c>
      <c r="J383" s="12">
        <f t="shared" si="63"/>
        <v>0.54999903447450382</v>
      </c>
      <c r="K383" s="12">
        <f t="shared" si="55"/>
        <v>1.2500000000820164E-2</v>
      </c>
      <c r="L383" s="12">
        <f t="shared" si="64"/>
        <v>0</v>
      </c>
      <c r="M383" s="7" t="str">
        <f t="shared" si="65"/>
        <v>yes</v>
      </c>
    </row>
    <row r="384" spans="1:13" x14ac:dyDescent="0.35">
      <c r="A384" s="7">
        <v>369</v>
      </c>
      <c r="B384" s="12">
        <f t="shared" si="56"/>
        <v>-1.5037732765676992E-6</v>
      </c>
      <c r="C384" s="12">
        <f t="shared" si="57"/>
        <v>49</v>
      </c>
      <c r="D384" s="12">
        <f t="shared" si="58"/>
        <v>0.74999909551417643</v>
      </c>
      <c r="E384" s="12">
        <f t="shared" si="59"/>
        <v>1.0173279108016686E-7</v>
      </c>
      <c r="F384" s="12">
        <f t="shared" si="60"/>
        <v>7</v>
      </c>
      <c r="G384" s="12">
        <f t="shared" si="61"/>
        <v>5.0002754150586019E-2</v>
      </c>
      <c r="H384" s="12">
        <f t="shared" si="62"/>
        <v>0</v>
      </c>
      <c r="I384" s="12">
        <f>2</f>
        <v>2</v>
      </c>
      <c r="J384" s="12">
        <f t="shared" si="63"/>
        <v>0.54999903447450382</v>
      </c>
      <c r="K384" s="12">
        <f t="shared" si="55"/>
        <v>1.2500000000820164E-2</v>
      </c>
      <c r="L384" s="12">
        <f t="shared" si="64"/>
        <v>0</v>
      </c>
      <c r="M384" s="7" t="str">
        <f t="shared" si="65"/>
        <v>yes</v>
      </c>
    </row>
    <row r="385" spans="1:13" x14ac:dyDescent="0.35">
      <c r="A385" s="7">
        <v>370</v>
      </c>
      <c r="B385" s="12">
        <f t="shared" si="56"/>
        <v>-1.5037732765676992E-6</v>
      </c>
      <c r="C385" s="12">
        <f t="shared" si="57"/>
        <v>49</v>
      </c>
      <c r="D385" s="12">
        <f t="shared" si="58"/>
        <v>0.74999909551417643</v>
      </c>
      <c r="E385" s="12">
        <f t="shared" si="59"/>
        <v>1.0173279108016686E-7</v>
      </c>
      <c r="F385" s="12">
        <f t="shared" si="60"/>
        <v>7</v>
      </c>
      <c r="G385" s="12">
        <f t="shared" si="61"/>
        <v>5.0002754150586019E-2</v>
      </c>
      <c r="H385" s="12">
        <f t="shared" si="62"/>
        <v>0</v>
      </c>
      <c r="I385" s="12">
        <f>2</f>
        <v>2</v>
      </c>
      <c r="J385" s="12">
        <f t="shared" si="63"/>
        <v>0.54999903447450382</v>
      </c>
      <c r="K385" s="12">
        <f t="shared" si="55"/>
        <v>1.2500000000820164E-2</v>
      </c>
      <c r="L385" s="12">
        <f t="shared" si="64"/>
        <v>0</v>
      </c>
      <c r="M385" s="7" t="str">
        <f t="shared" si="65"/>
        <v>yes</v>
      </c>
    </row>
    <row r="386" spans="1:13" x14ac:dyDescent="0.35">
      <c r="A386" s="7">
        <v>371</v>
      </c>
      <c r="B386" s="12">
        <f t="shared" si="56"/>
        <v>-1.5037732765676992E-6</v>
      </c>
      <c r="C386" s="12">
        <f t="shared" si="57"/>
        <v>49</v>
      </c>
      <c r="D386" s="12">
        <f t="shared" si="58"/>
        <v>0.74999909551417643</v>
      </c>
      <c r="E386" s="12">
        <f t="shared" si="59"/>
        <v>1.0173279108016686E-7</v>
      </c>
      <c r="F386" s="12">
        <f t="shared" si="60"/>
        <v>7</v>
      </c>
      <c r="G386" s="12">
        <f t="shared" si="61"/>
        <v>5.0002754150586019E-2</v>
      </c>
      <c r="H386" s="12">
        <f t="shared" si="62"/>
        <v>0</v>
      </c>
      <c r="I386" s="12">
        <f>2</f>
        <v>2</v>
      </c>
      <c r="J386" s="12">
        <f t="shared" si="63"/>
        <v>0.54999903447450382</v>
      </c>
      <c r="K386" s="12">
        <f t="shared" si="55"/>
        <v>1.2500000000820164E-2</v>
      </c>
      <c r="L386" s="12">
        <f t="shared" si="64"/>
        <v>0</v>
      </c>
      <c r="M386" s="7" t="str">
        <f t="shared" si="65"/>
        <v>yes</v>
      </c>
    </row>
    <row r="387" spans="1:13" x14ac:dyDescent="0.35">
      <c r="A387" s="7">
        <v>372</v>
      </c>
      <c r="B387" s="12">
        <f t="shared" si="56"/>
        <v>-1.5037732765676992E-6</v>
      </c>
      <c r="C387" s="12">
        <f t="shared" si="57"/>
        <v>49</v>
      </c>
      <c r="D387" s="12">
        <f t="shared" si="58"/>
        <v>0.74999909551417643</v>
      </c>
      <c r="E387" s="12">
        <f t="shared" si="59"/>
        <v>1.0173279108016686E-7</v>
      </c>
      <c r="F387" s="12">
        <f t="shared" si="60"/>
        <v>7</v>
      </c>
      <c r="G387" s="12">
        <f t="shared" si="61"/>
        <v>5.0002754150586019E-2</v>
      </c>
      <c r="H387" s="12">
        <f t="shared" si="62"/>
        <v>0</v>
      </c>
      <c r="I387" s="12">
        <f>2</f>
        <v>2</v>
      </c>
      <c r="J387" s="12">
        <f t="shared" si="63"/>
        <v>0.54999903447450382</v>
      </c>
      <c r="K387" s="12">
        <f t="shared" si="55"/>
        <v>1.2500000000820164E-2</v>
      </c>
      <c r="L387" s="12">
        <f t="shared" si="64"/>
        <v>0</v>
      </c>
      <c r="M387" s="7" t="str">
        <f t="shared" si="65"/>
        <v>yes</v>
      </c>
    </row>
    <row r="388" spans="1:13" x14ac:dyDescent="0.35">
      <c r="A388" s="7">
        <v>373</v>
      </c>
      <c r="B388" s="12">
        <f t="shared" si="56"/>
        <v>-1.5037732765676992E-6</v>
      </c>
      <c r="C388" s="12">
        <f t="shared" si="57"/>
        <v>49</v>
      </c>
      <c r="D388" s="12">
        <f t="shared" si="58"/>
        <v>0.74999909551417643</v>
      </c>
      <c r="E388" s="12">
        <f t="shared" si="59"/>
        <v>1.0173279108016686E-7</v>
      </c>
      <c r="F388" s="12">
        <f t="shared" si="60"/>
        <v>7</v>
      </c>
      <c r="G388" s="12">
        <f t="shared" si="61"/>
        <v>5.0002754150586019E-2</v>
      </c>
      <c r="H388" s="12">
        <f t="shared" si="62"/>
        <v>0</v>
      </c>
      <c r="I388" s="12">
        <f>2</f>
        <v>2</v>
      </c>
      <c r="J388" s="12">
        <f t="shared" si="63"/>
        <v>0.54999903447450382</v>
      </c>
      <c r="K388" s="12">
        <f t="shared" si="55"/>
        <v>1.2500000000820164E-2</v>
      </c>
      <c r="L388" s="12">
        <f t="shared" si="64"/>
        <v>0</v>
      </c>
      <c r="M388" s="7" t="str">
        <f t="shared" si="65"/>
        <v>yes</v>
      </c>
    </row>
    <row r="389" spans="1:13" x14ac:dyDescent="0.35">
      <c r="A389" s="7">
        <v>374</v>
      </c>
      <c r="B389" s="12">
        <f t="shared" si="56"/>
        <v>-1.5037732765676992E-6</v>
      </c>
      <c r="C389" s="12">
        <f t="shared" si="57"/>
        <v>49</v>
      </c>
      <c r="D389" s="12">
        <f t="shared" si="58"/>
        <v>0.74999909551417643</v>
      </c>
      <c r="E389" s="12">
        <f t="shared" si="59"/>
        <v>1.0173279108016686E-7</v>
      </c>
      <c r="F389" s="12">
        <f t="shared" si="60"/>
        <v>7</v>
      </c>
      <c r="G389" s="12">
        <f t="shared" si="61"/>
        <v>5.0002754150586019E-2</v>
      </c>
      <c r="H389" s="12">
        <f t="shared" si="62"/>
        <v>0</v>
      </c>
      <c r="I389" s="12">
        <f>2</f>
        <v>2</v>
      </c>
      <c r="J389" s="12">
        <f t="shared" si="63"/>
        <v>0.54999903447450382</v>
      </c>
      <c r="K389" s="12">
        <f t="shared" si="55"/>
        <v>1.2500000000820164E-2</v>
      </c>
      <c r="L389" s="12">
        <f t="shared" si="64"/>
        <v>0</v>
      </c>
      <c r="M389" s="7" t="str">
        <f t="shared" si="65"/>
        <v>yes</v>
      </c>
    </row>
    <row r="390" spans="1:13" x14ac:dyDescent="0.35">
      <c r="A390" s="7">
        <v>375</v>
      </c>
      <c r="B390" s="12">
        <f t="shared" si="56"/>
        <v>-1.5037732765676992E-6</v>
      </c>
      <c r="C390" s="12">
        <f t="shared" si="57"/>
        <v>49</v>
      </c>
      <c r="D390" s="12">
        <f t="shared" si="58"/>
        <v>0.74999909551417643</v>
      </c>
      <c r="E390" s="12">
        <f t="shared" si="59"/>
        <v>1.0173279108016686E-7</v>
      </c>
      <c r="F390" s="12">
        <f t="shared" si="60"/>
        <v>7</v>
      </c>
      <c r="G390" s="12">
        <f t="shared" si="61"/>
        <v>5.0002754150586019E-2</v>
      </c>
      <c r="H390" s="12">
        <f t="shared" si="62"/>
        <v>0</v>
      </c>
      <c r="I390" s="12">
        <f>2</f>
        <v>2</v>
      </c>
      <c r="J390" s="12">
        <f t="shared" si="63"/>
        <v>0.54999903447450382</v>
      </c>
      <c r="K390" s="12">
        <f t="shared" si="55"/>
        <v>1.2500000000820164E-2</v>
      </c>
      <c r="L390" s="12">
        <f t="shared" si="64"/>
        <v>0</v>
      </c>
      <c r="M390" s="7" t="str">
        <f t="shared" si="65"/>
        <v>yes</v>
      </c>
    </row>
    <row r="391" spans="1:13" x14ac:dyDescent="0.35">
      <c r="A391" s="7">
        <v>376</v>
      </c>
      <c r="B391" s="12">
        <f t="shared" si="56"/>
        <v>-1.5037732765676992E-6</v>
      </c>
      <c r="C391" s="12">
        <f t="shared" si="57"/>
        <v>49</v>
      </c>
      <c r="D391" s="12">
        <f t="shared" si="58"/>
        <v>0.74999909551417643</v>
      </c>
      <c r="E391" s="12">
        <f t="shared" si="59"/>
        <v>1.0173279108016686E-7</v>
      </c>
      <c r="F391" s="12">
        <f t="shared" si="60"/>
        <v>7</v>
      </c>
      <c r="G391" s="12">
        <f t="shared" si="61"/>
        <v>5.0002754150586019E-2</v>
      </c>
      <c r="H391" s="12">
        <f t="shared" si="62"/>
        <v>0</v>
      </c>
      <c r="I391" s="12">
        <f>2</f>
        <v>2</v>
      </c>
      <c r="J391" s="12">
        <f t="shared" si="63"/>
        <v>0.54999903447450382</v>
      </c>
      <c r="K391" s="12">
        <f t="shared" si="55"/>
        <v>1.2500000000820164E-2</v>
      </c>
      <c r="L391" s="12">
        <f t="shared" si="64"/>
        <v>0</v>
      </c>
      <c r="M391" s="7" t="str">
        <f t="shared" si="65"/>
        <v>yes</v>
      </c>
    </row>
    <row r="392" spans="1:13" x14ac:dyDescent="0.35">
      <c r="A392" s="7">
        <v>377</v>
      </c>
      <c r="B392" s="12">
        <f t="shared" si="56"/>
        <v>-1.5037732765676992E-6</v>
      </c>
      <c r="C392" s="12">
        <f t="shared" si="57"/>
        <v>49</v>
      </c>
      <c r="D392" s="12">
        <f t="shared" si="58"/>
        <v>0.74999909551417643</v>
      </c>
      <c r="E392" s="12">
        <f t="shared" si="59"/>
        <v>1.0173279108016686E-7</v>
      </c>
      <c r="F392" s="12">
        <f t="shared" si="60"/>
        <v>7</v>
      </c>
      <c r="G392" s="12">
        <f t="shared" si="61"/>
        <v>5.0002754150586019E-2</v>
      </c>
      <c r="H392" s="12">
        <f t="shared" si="62"/>
        <v>0</v>
      </c>
      <c r="I392" s="12">
        <f>2</f>
        <v>2</v>
      </c>
      <c r="J392" s="12">
        <f t="shared" si="63"/>
        <v>0.54999903447450382</v>
      </c>
      <c r="K392" s="12">
        <f t="shared" si="55"/>
        <v>1.2500000000820164E-2</v>
      </c>
      <c r="L392" s="12">
        <f t="shared" si="64"/>
        <v>0</v>
      </c>
      <c r="M392" s="7" t="str">
        <f t="shared" si="65"/>
        <v>yes</v>
      </c>
    </row>
    <row r="393" spans="1:13" x14ac:dyDescent="0.35">
      <c r="A393" s="7">
        <v>378</v>
      </c>
      <c r="B393" s="12">
        <f t="shared" si="56"/>
        <v>-1.5037732765676992E-6</v>
      </c>
      <c r="C393" s="12">
        <f t="shared" si="57"/>
        <v>49</v>
      </c>
      <c r="D393" s="12">
        <f t="shared" si="58"/>
        <v>0.74999909551417643</v>
      </c>
      <c r="E393" s="12">
        <f t="shared" si="59"/>
        <v>1.0173279108016686E-7</v>
      </c>
      <c r="F393" s="12">
        <f t="shared" si="60"/>
        <v>7</v>
      </c>
      <c r="G393" s="12">
        <f t="shared" si="61"/>
        <v>5.0002754150586019E-2</v>
      </c>
      <c r="H393" s="12">
        <f t="shared" si="62"/>
        <v>0</v>
      </c>
      <c r="I393" s="12">
        <f>2</f>
        <v>2</v>
      </c>
      <c r="J393" s="12">
        <f t="shared" si="63"/>
        <v>0.54999903447450382</v>
      </c>
      <c r="K393" s="12">
        <f t="shared" si="55"/>
        <v>1.2500000000820164E-2</v>
      </c>
      <c r="L393" s="12">
        <f t="shared" si="64"/>
        <v>0</v>
      </c>
      <c r="M393" s="7" t="str">
        <f t="shared" si="65"/>
        <v>yes</v>
      </c>
    </row>
    <row r="394" spans="1:13" x14ac:dyDescent="0.35">
      <c r="A394" s="7">
        <v>379</v>
      </c>
      <c r="B394" s="12">
        <f t="shared" si="56"/>
        <v>-1.5037732765676992E-6</v>
      </c>
      <c r="C394" s="12">
        <f t="shared" si="57"/>
        <v>49</v>
      </c>
      <c r="D394" s="12">
        <f t="shared" si="58"/>
        <v>0.74999909551417643</v>
      </c>
      <c r="E394" s="12">
        <f t="shared" si="59"/>
        <v>1.0173279108016686E-7</v>
      </c>
      <c r="F394" s="12">
        <f t="shared" si="60"/>
        <v>7</v>
      </c>
      <c r="G394" s="12">
        <f t="shared" si="61"/>
        <v>5.0002754150586019E-2</v>
      </c>
      <c r="H394" s="12">
        <f t="shared" si="62"/>
        <v>0</v>
      </c>
      <c r="I394" s="12">
        <f>2</f>
        <v>2</v>
      </c>
      <c r="J394" s="12">
        <f t="shared" si="63"/>
        <v>0.54999903447450382</v>
      </c>
      <c r="K394" s="12">
        <f t="shared" si="55"/>
        <v>1.2500000000820164E-2</v>
      </c>
      <c r="L394" s="12">
        <f t="shared" si="64"/>
        <v>0</v>
      </c>
      <c r="M394" s="7" t="str">
        <f t="shared" si="65"/>
        <v>yes</v>
      </c>
    </row>
    <row r="395" spans="1:13" x14ac:dyDescent="0.35">
      <c r="A395" s="7">
        <v>380</v>
      </c>
      <c r="B395" s="12">
        <f t="shared" si="56"/>
        <v>-1.5037732765676992E-6</v>
      </c>
      <c r="C395" s="12">
        <f t="shared" si="57"/>
        <v>49</v>
      </c>
      <c r="D395" s="12">
        <f t="shared" si="58"/>
        <v>0.74999909551417643</v>
      </c>
      <c r="E395" s="12">
        <f t="shared" si="59"/>
        <v>1.0173279108016686E-7</v>
      </c>
      <c r="F395" s="12">
        <f t="shared" si="60"/>
        <v>7</v>
      </c>
      <c r="G395" s="12">
        <f t="shared" si="61"/>
        <v>5.0002754150586019E-2</v>
      </c>
      <c r="H395" s="12">
        <f t="shared" si="62"/>
        <v>0</v>
      </c>
      <c r="I395" s="12">
        <f>2</f>
        <v>2</v>
      </c>
      <c r="J395" s="12">
        <f t="shared" si="63"/>
        <v>0.54999903447450382</v>
      </c>
      <c r="K395" s="12">
        <f t="shared" si="55"/>
        <v>1.2500000000820164E-2</v>
      </c>
      <c r="L395" s="12">
        <f t="shared" si="64"/>
        <v>0</v>
      </c>
      <c r="M395" s="7" t="str">
        <f t="shared" si="65"/>
        <v>yes</v>
      </c>
    </row>
    <row r="396" spans="1:13" x14ac:dyDescent="0.35">
      <c r="A396" s="7">
        <v>381</v>
      </c>
      <c r="B396" s="12">
        <f t="shared" si="56"/>
        <v>-1.5037732765676992E-6</v>
      </c>
      <c r="C396" s="12">
        <f t="shared" si="57"/>
        <v>49</v>
      </c>
      <c r="D396" s="12">
        <f t="shared" si="58"/>
        <v>0.74999909551417643</v>
      </c>
      <c r="E396" s="12">
        <f t="shared" si="59"/>
        <v>1.0173279108016686E-7</v>
      </c>
      <c r="F396" s="12">
        <f t="shared" si="60"/>
        <v>7</v>
      </c>
      <c r="G396" s="12">
        <f t="shared" si="61"/>
        <v>5.0002754150586019E-2</v>
      </c>
      <c r="H396" s="12">
        <f t="shared" si="62"/>
        <v>0</v>
      </c>
      <c r="I396" s="12">
        <f>2</f>
        <v>2</v>
      </c>
      <c r="J396" s="12">
        <f t="shared" si="63"/>
        <v>0.54999903447450382</v>
      </c>
      <c r="K396" s="12">
        <f t="shared" si="55"/>
        <v>1.2500000000820164E-2</v>
      </c>
      <c r="L396" s="12">
        <f t="shared" si="64"/>
        <v>0</v>
      </c>
      <c r="M396" s="7" t="str">
        <f t="shared" si="65"/>
        <v>yes</v>
      </c>
    </row>
    <row r="397" spans="1:13" x14ac:dyDescent="0.35">
      <c r="A397" s="7">
        <v>382</v>
      </c>
      <c r="B397" s="12">
        <f t="shared" si="56"/>
        <v>-1.5037732765676992E-6</v>
      </c>
      <c r="C397" s="12">
        <f t="shared" si="57"/>
        <v>49</v>
      </c>
      <c r="D397" s="12">
        <f t="shared" si="58"/>
        <v>0.74999909551417643</v>
      </c>
      <c r="E397" s="12">
        <f t="shared" si="59"/>
        <v>1.0173279108016686E-7</v>
      </c>
      <c r="F397" s="12">
        <f t="shared" si="60"/>
        <v>7</v>
      </c>
      <c r="G397" s="12">
        <f t="shared" si="61"/>
        <v>5.0002754150586019E-2</v>
      </c>
      <c r="H397" s="12">
        <f t="shared" si="62"/>
        <v>0</v>
      </c>
      <c r="I397" s="12">
        <f>2</f>
        <v>2</v>
      </c>
      <c r="J397" s="12">
        <f t="shared" si="63"/>
        <v>0.54999903447450382</v>
      </c>
      <c r="K397" s="12">
        <f t="shared" si="55"/>
        <v>1.2500000000820164E-2</v>
      </c>
      <c r="L397" s="12">
        <f t="shared" si="64"/>
        <v>0</v>
      </c>
      <c r="M397" s="7" t="str">
        <f t="shared" si="65"/>
        <v>yes</v>
      </c>
    </row>
    <row r="398" spans="1:13" x14ac:dyDescent="0.35">
      <c r="A398" s="7">
        <v>383</v>
      </c>
      <c r="B398" s="12">
        <f t="shared" si="56"/>
        <v>-1.5037732765676992E-6</v>
      </c>
      <c r="C398" s="12">
        <f t="shared" si="57"/>
        <v>49</v>
      </c>
      <c r="D398" s="12">
        <f t="shared" si="58"/>
        <v>0.74999909551417643</v>
      </c>
      <c r="E398" s="12">
        <f t="shared" si="59"/>
        <v>1.0173279108016686E-7</v>
      </c>
      <c r="F398" s="12">
        <f t="shared" si="60"/>
        <v>7</v>
      </c>
      <c r="G398" s="12">
        <f t="shared" si="61"/>
        <v>5.0002754150586019E-2</v>
      </c>
      <c r="H398" s="12">
        <f t="shared" si="62"/>
        <v>0</v>
      </c>
      <c r="I398" s="12">
        <f>2</f>
        <v>2</v>
      </c>
      <c r="J398" s="12">
        <f t="shared" si="63"/>
        <v>0.54999903447450382</v>
      </c>
      <c r="K398" s="12">
        <f t="shared" si="55"/>
        <v>1.2500000000820164E-2</v>
      </c>
      <c r="L398" s="12">
        <f t="shared" si="64"/>
        <v>0</v>
      </c>
      <c r="M398" s="7" t="str">
        <f t="shared" si="65"/>
        <v>yes</v>
      </c>
    </row>
    <row r="399" spans="1:13" x14ac:dyDescent="0.35">
      <c r="A399" s="7">
        <v>384</v>
      </c>
      <c r="B399" s="12">
        <f t="shared" si="56"/>
        <v>-1.5037732765676992E-6</v>
      </c>
      <c r="C399" s="12">
        <f t="shared" si="57"/>
        <v>49</v>
      </c>
      <c r="D399" s="12">
        <f t="shared" si="58"/>
        <v>0.74999909551417643</v>
      </c>
      <c r="E399" s="12">
        <f t="shared" si="59"/>
        <v>1.0173279108016686E-7</v>
      </c>
      <c r="F399" s="12">
        <f t="shared" si="60"/>
        <v>7</v>
      </c>
      <c r="G399" s="12">
        <f t="shared" si="61"/>
        <v>5.0002754150586019E-2</v>
      </c>
      <c r="H399" s="12">
        <f t="shared" si="62"/>
        <v>0</v>
      </c>
      <c r="I399" s="12">
        <f>2</f>
        <v>2</v>
      </c>
      <c r="J399" s="12">
        <f t="shared" si="63"/>
        <v>0.54999903447450382</v>
      </c>
      <c r="K399" s="12">
        <f t="shared" ref="K399:K462" si="66">SUMPRODUCT((D399*$B$6:$B$9^2+G399*$B$6:$B$9+J399-$C$6:$C$9)^2)/$F$5</f>
        <v>1.2500000000820164E-2</v>
      </c>
      <c r="L399" s="12">
        <f t="shared" si="64"/>
        <v>0</v>
      </c>
      <c r="M399" s="7" t="str">
        <f t="shared" si="65"/>
        <v>yes</v>
      </c>
    </row>
    <row r="400" spans="1:13" x14ac:dyDescent="0.35">
      <c r="A400" s="7">
        <v>385</v>
      </c>
      <c r="B400" s="12">
        <f t="shared" ref="B400:B414" si="67">2/$F$5*($F$9*D399+$F$8*G399+$F$7*J399-$F$12)</f>
        <v>-1.5037732765676992E-6</v>
      </c>
      <c r="C400" s="12">
        <f t="shared" ref="C400:C414" si="68">2/$F$5*$F$9</f>
        <v>49</v>
      </c>
      <c r="D400" s="12">
        <f t="shared" ref="D400:D463" si="69">IF(M399="yes",D399,D399-B400/C400)</f>
        <v>0.74999909551417643</v>
      </c>
      <c r="E400" s="12">
        <f t="shared" ref="E400:E463" si="70">2/$F$5*($F$8*D400+$F$7*G399+$F$6*J399-$F$11)</f>
        <v>1.0173279108016686E-7</v>
      </c>
      <c r="F400" s="12">
        <f t="shared" ref="F400:F414" si="71">2/$F$5*$F$7</f>
        <v>7</v>
      </c>
      <c r="G400" s="12">
        <f t="shared" ref="G400:G463" si="72">IF(M399="yes",G399,G399-E400/F400)</f>
        <v>5.0002754150586019E-2</v>
      </c>
      <c r="H400" s="12">
        <f t="shared" ref="H400:H463" si="73">2/$F$5*($F$7*D400+$F$6*G400+$F$5*J399-$F$10)</f>
        <v>0</v>
      </c>
      <c r="I400" s="12">
        <f>2</f>
        <v>2</v>
      </c>
      <c r="J400" s="12">
        <f t="shared" ref="J400:J463" si="74">IF(M399="yes",J399,J399-H400/I400)</f>
        <v>0.54999903447450382</v>
      </c>
      <c r="K400" s="12">
        <f t="shared" si="66"/>
        <v>1.2500000000820164E-2</v>
      </c>
      <c r="L400" s="12">
        <f t="shared" ref="L400:L414" si="75">MAX(ABS(D400-D399),ABS(G400-G399),ABS(J400-J399))</f>
        <v>0</v>
      </c>
      <c r="M400" s="7" t="str">
        <f t="shared" ref="M400:M463" si="76">IF(OR(M399="yes",L400&lt;$I$5),"yes","no")</f>
        <v>yes</v>
      </c>
    </row>
    <row r="401" spans="1:13" x14ac:dyDescent="0.35">
      <c r="A401" s="7">
        <v>386</v>
      </c>
      <c r="B401" s="12">
        <f t="shared" si="67"/>
        <v>-1.5037732765676992E-6</v>
      </c>
      <c r="C401" s="12">
        <f t="shared" si="68"/>
        <v>49</v>
      </c>
      <c r="D401" s="12">
        <f t="shared" si="69"/>
        <v>0.74999909551417643</v>
      </c>
      <c r="E401" s="12">
        <f t="shared" si="70"/>
        <v>1.0173279108016686E-7</v>
      </c>
      <c r="F401" s="12">
        <f t="shared" si="71"/>
        <v>7</v>
      </c>
      <c r="G401" s="12">
        <f t="shared" si="72"/>
        <v>5.0002754150586019E-2</v>
      </c>
      <c r="H401" s="12">
        <f t="shared" si="73"/>
        <v>0</v>
      </c>
      <c r="I401" s="12">
        <f>2</f>
        <v>2</v>
      </c>
      <c r="J401" s="12">
        <f t="shared" si="74"/>
        <v>0.54999903447450382</v>
      </c>
      <c r="K401" s="12">
        <f t="shared" si="66"/>
        <v>1.2500000000820164E-2</v>
      </c>
      <c r="L401" s="12">
        <f t="shared" si="75"/>
        <v>0</v>
      </c>
      <c r="M401" s="7" t="str">
        <f t="shared" si="76"/>
        <v>yes</v>
      </c>
    </row>
    <row r="402" spans="1:13" x14ac:dyDescent="0.35">
      <c r="A402" s="7">
        <v>387</v>
      </c>
      <c r="B402" s="12">
        <f t="shared" si="67"/>
        <v>-1.5037732765676992E-6</v>
      </c>
      <c r="C402" s="12">
        <f t="shared" si="68"/>
        <v>49</v>
      </c>
      <c r="D402" s="12">
        <f t="shared" si="69"/>
        <v>0.74999909551417643</v>
      </c>
      <c r="E402" s="12">
        <f t="shared" si="70"/>
        <v>1.0173279108016686E-7</v>
      </c>
      <c r="F402" s="12">
        <f t="shared" si="71"/>
        <v>7</v>
      </c>
      <c r="G402" s="12">
        <f t="shared" si="72"/>
        <v>5.0002754150586019E-2</v>
      </c>
      <c r="H402" s="12">
        <f t="shared" si="73"/>
        <v>0</v>
      </c>
      <c r="I402" s="12">
        <f>2</f>
        <v>2</v>
      </c>
      <c r="J402" s="12">
        <f t="shared" si="74"/>
        <v>0.54999903447450382</v>
      </c>
      <c r="K402" s="12">
        <f t="shared" si="66"/>
        <v>1.2500000000820164E-2</v>
      </c>
      <c r="L402" s="12">
        <f t="shared" si="75"/>
        <v>0</v>
      </c>
      <c r="M402" s="7" t="str">
        <f t="shared" si="76"/>
        <v>yes</v>
      </c>
    </row>
    <row r="403" spans="1:13" x14ac:dyDescent="0.35">
      <c r="A403" s="7">
        <v>388</v>
      </c>
      <c r="B403" s="12">
        <f t="shared" si="67"/>
        <v>-1.5037732765676992E-6</v>
      </c>
      <c r="C403" s="12">
        <f t="shared" si="68"/>
        <v>49</v>
      </c>
      <c r="D403" s="12">
        <f t="shared" si="69"/>
        <v>0.74999909551417643</v>
      </c>
      <c r="E403" s="12">
        <f t="shared" si="70"/>
        <v>1.0173279108016686E-7</v>
      </c>
      <c r="F403" s="12">
        <f t="shared" si="71"/>
        <v>7</v>
      </c>
      <c r="G403" s="12">
        <f t="shared" si="72"/>
        <v>5.0002754150586019E-2</v>
      </c>
      <c r="H403" s="12">
        <f t="shared" si="73"/>
        <v>0</v>
      </c>
      <c r="I403" s="12">
        <f>2</f>
        <v>2</v>
      </c>
      <c r="J403" s="12">
        <f t="shared" si="74"/>
        <v>0.54999903447450382</v>
      </c>
      <c r="K403" s="12">
        <f t="shared" si="66"/>
        <v>1.2500000000820164E-2</v>
      </c>
      <c r="L403" s="12">
        <f t="shared" si="75"/>
        <v>0</v>
      </c>
      <c r="M403" s="7" t="str">
        <f t="shared" si="76"/>
        <v>yes</v>
      </c>
    </row>
    <row r="404" spans="1:13" x14ac:dyDescent="0.35">
      <c r="A404" s="7">
        <v>389</v>
      </c>
      <c r="B404" s="12">
        <f t="shared" si="67"/>
        <v>-1.5037732765676992E-6</v>
      </c>
      <c r="C404" s="12">
        <f t="shared" si="68"/>
        <v>49</v>
      </c>
      <c r="D404" s="12">
        <f t="shared" si="69"/>
        <v>0.74999909551417643</v>
      </c>
      <c r="E404" s="12">
        <f t="shared" si="70"/>
        <v>1.0173279108016686E-7</v>
      </c>
      <c r="F404" s="12">
        <f t="shared" si="71"/>
        <v>7</v>
      </c>
      <c r="G404" s="12">
        <f t="shared" si="72"/>
        <v>5.0002754150586019E-2</v>
      </c>
      <c r="H404" s="12">
        <f t="shared" si="73"/>
        <v>0</v>
      </c>
      <c r="I404" s="12">
        <f>2</f>
        <v>2</v>
      </c>
      <c r="J404" s="12">
        <f t="shared" si="74"/>
        <v>0.54999903447450382</v>
      </c>
      <c r="K404" s="12">
        <f t="shared" si="66"/>
        <v>1.2500000000820164E-2</v>
      </c>
      <c r="L404" s="12">
        <f t="shared" si="75"/>
        <v>0</v>
      </c>
      <c r="M404" s="7" t="str">
        <f t="shared" si="76"/>
        <v>yes</v>
      </c>
    </row>
    <row r="405" spans="1:13" x14ac:dyDescent="0.35">
      <c r="A405" s="7">
        <v>390</v>
      </c>
      <c r="B405" s="12">
        <f t="shared" si="67"/>
        <v>-1.5037732765676992E-6</v>
      </c>
      <c r="C405" s="12">
        <f t="shared" si="68"/>
        <v>49</v>
      </c>
      <c r="D405" s="12">
        <f t="shared" si="69"/>
        <v>0.74999909551417643</v>
      </c>
      <c r="E405" s="12">
        <f t="shared" si="70"/>
        <v>1.0173279108016686E-7</v>
      </c>
      <c r="F405" s="12">
        <f t="shared" si="71"/>
        <v>7</v>
      </c>
      <c r="G405" s="12">
        <f t="shared" si="72"/>
        <v>5.0002754150586019E-2</v>
      </c>
      <c r="H405" s="12">
        <f t="shared" si="73"/>
        <v>0</v>
      </c>
      <c r="I405" s="12">
        <f>2</f>
        <v>2</v>
      </c>
      <c r="J405" s="12">
        <f t="shared" si="74"/>
        <v>0.54999903447450382</v>
      </c>
      <c r="K405" s="12">
        <f t="shared" si="66"/>
        <v>1.2500000000820164E-2</v>
      </c>
      <c r="L405" s="12">
        <f t="shared" si="75"/>
        <v>0</v>
      </c>
      <c r="M405" s="7" t="str">
        <f t="shared" si="76"/>
        <v>yes</v>
      </c>
    </row>
    <row r="406" spans="1:13" x14ac:dyDescent="0.35">
      <c r="A406" s="7">
        <v>391</v>
      </c>
      <c r="B406" s="12">
        <f t="shared" si="67"/>
        <v>-1.5037732765676992E-6</v>
      </c>
      <c r="C406" s="12">
        <f t="shared" si="68"/>
        <v>49</v>
      </c>
      <c r="D406" s="12">
        <f t="shared" si="69"/>
        <v>0.74999909551417643</v>
      </c>
      <c r="E406" s="12">
        <f t="shared" si="70"/>
        <v>1.0173279108016686E-7</v>
      </c>
      <c r="F406" s="12">
        <f t="shared" si="71"/>
        <v>7</v>
      </c>
      <c r="G406" s="12">
        <f t="shared" si="72"/>
        <v>5.0002754150586019E-2</v>
      </c>
      <c r="H406" s="12">
        <f t="shared" si="73"/>
        <v>0</v>
      </c>
      <c r="I406" s="12">
        <f>2</f>
        <v>2</v>
      </c>
      <c r="J406" s="12">
        <f t="shared" si="74"/>
        <v>0.54999903447450382</v>
      </c>
      <c r="K406" s="12">
        <f t="shared" si="66"/>
        <v>1.2500000000820164E-2</v>
      </c>
      <c r="L406" s="12">
        <f t="shared" si="75"/>
        <v>0</v>
      </c>
      <c r="M406" s="7" t="str">
        <f t="shared" si="76"/>
        <v>yes</v>
      </c>
    </row>
    <row r="407" spans="1:13" x14ac:dyDescent="0.35">
      <c r="A407" s="7">
        <v>392</v>
      </c>
      <c r="B407" s="12">
        <f t="shared" si="67"/>
        <v>-1.5037732765676992E-6</v>
      </c>
      <c r="C407" s="12">
        <f t="shared" si="68"/>
        <v>49</v>
      </c>
      <c r="D407" s="12">
        <f t="shared" si="69"/>
        <v>0.74999909551417643</v>
      </c>
      <c r="E407" s="12">
        <f t="shared" si="70"/>
        <v>1.0173279108016686E-7</v>
      </c>
      <c r="F407" s="12">
        <f t="shared" si="71"/>
        <v>7</v>
      </c>
      <c r="G407" s="12">
        <f t="shared" si="72"/>
        <v>5.0002754150586019E-2</v>
      </c>
      <c r="H407" s="12">
        <f t="shared" si="73"/>
        <v>0</v>
      </c>
      <c r="I407" s="12">
        <f>2</f>
        <v>2</v>
      </c>
      <c r="J407" s="12">
        <f t="shared" si="74"/>
        <v>0.54999903447450382</v>
      </c>
      <c r="K407" s="12">
        <f t="shared" si="66"/>
        <v>1.2500000000820164E-2</v>
      </c>
      <c r="L407" s="12">
        <f t="shared" si="75"/>
        <v>0</v>
      </c>
      <c r="M407" s="7" t="str">
        <f t="shared" si="76"/>
        <v>yes</v>
      </c>
    </row>
    <row r="408" spans="1:13" x14ac:dyDescent="0.35">
      <c r="A408" s="7">
        <v>393</v>
      </c>
      <c r="B408" s="12">
        <f t="shared" si="67"/>
        <v>-1.5037732765676992E-6</v>
      </c>
      <c r="C408" s="12">
        <f t="shared" si="68"/>
        <v>49</v>
      </c>
      <c r="D408" s="12">
        <f t="shared" si="69"/>
        <v>0.74999909551417643</v>
      </c>
      <c r="E408" s="12">
        <f t="shared" si="70"/>
        <v>1.0173279108016686E-7</v>
      </c>
      <c r="F408" s="12">
        <f t="shared" si="71"/>
        <v>7</v>
      </c>
      <c r="G408" s="12">
        <f t="shared" si="72"/>
        <v>5.0002754150586019E-2</v>
      </c>
      <c r="H408" s="12">
        <f t="shared" si="73"/>
        <v>0</v>
      </c>
      <c r="I408" s="12">
        <f>2</f>
        <v>2</v>
      </c>
      <c r="J408" s="12">
        <f t="shared" si="74"/>
        <v>0.54999903447450382</v>
      </c>
      <c r="K408" s="12">
        <f t="shared" si="66"/>
        <v>1.2500000000820164E-2</v>
      </c>
      <c r="L408" s="12">
        <f t="shared" si="75"/>
        <v>0</v>
      </c>
      <c r="M408" s="7" t="str">
        <f t="shared" si="76"/>
        <v>yes</v>
      </c>
    </row>
    <row r="409" spans="1:13" x14ac:dyDescent="0.35">
      <c r="A409" s="7">
        <v>394</v>
      </c>
      <c r="B409" s="12">
        <f t="shared" si="67"/>
        <v>-1.5037732765676992E-6</v>
      </c>
      <c r="C409" s="12">
        <f t="shared" si="68"/>
        <v>49</v>
      </c>
      <c r="D409" s="12">
        <f t="shared" si="69"/>
        <v>0.74999909551417643</v>
      </c>
      <c r="E409" s="12">
        <f t="shared" si="70"/>
        <v>1.0173279108016686E-7</v>
      </c>
      <c r="F409" s="12">
        <f t="shared" si="71"/>
        <v>7</v>
      </c>
      <c r="G409" s="12">
        <f t="shared" si="72"/>
        <v>5.0002754150586019E-2</v>
      </c>
      <c r="H409" s="12">
        <f t="shared" si="73"/>
        <v>0</v>
      </c>
      <c r="I409" s="12">
        <f>2</f>
        <v>2</v>
      </c>
      <c r="J409" s="12">
        <f t="shared" si="74"/>
        <v>0.54999903447450382</v>
      </c>
      <c r="K409" s="12">
        <f t="shared" si="66"/>
        <v>1.2500000000820164E-2</v>
      </c>
      <c r="L409" s="12">
        <f t="shared" si="75"/>
        <v>0</v>
      </c>
      <c r="M409" s="7" t="str">
        <f t="shared" si="76"/>
        <v>yes</v>
      </c>
    </row>
    <row r="410" spans="1:13" x14ac:dyDescent="0.35">
      <c r="A410" s="7">
        <v>395</v>
      </c>
      <c r="B410" s="12">
        <f t="shared" si="67"/>
        <v>-1.5037732765676992E-6</v>
      </c>
      <c r="C410" s="12">
        <f t="shared" si="68"/>
        <v>49</v>
      </c>
      <c r="D410" s="12">
        <f t="shared" si="69"/>
        <v>0.74999909551417643</v>
      </c>
      <c r="E410" s="12">
        <f t="shared" si="70"/>
        <v>1.0173279108016686E-7</v>
      </c>
      <c r="F410" s="12">
        <f t="shared" si="71"/>
        <v>7</v>
      </c>
      <c r="G410" s="12">
        <f t="shared" si="72"/>
        <v>5.0002754150586019E-2</v>
      </c>
      <c r="H410" s="12">
        <f t="shared" si="73"/>
        <v>0</v>
      </c>
      <c r="I410" s="12">
        <f>2</f>
        <v>2</v>
      </c>
      <c r="J410" s="12">
        <f t="shared" si="74"/>
        <v>0.54999903447450382</v>
      </c>
      <c r="K410" s="12">
        <f t="shared" si="66"/>
        <v>1.2500000000820164E-2</v>
      </c>
      <c r="L410" s="12">
        <f t="shared" si="75"/>
        <v>0</v>
      </c>
      <c r="M410" s="7" t="str">
        <f t="shared" si="76"/>
        <v>yes</v>
      </c>
    </row>
    <row r="411" spans="1:13" x14ac:dyDescent="0.35">
      <c r="A411" s="7">
        <v>396</v>
      </c>
      <c r="B411" s="12">
        <f t="shared" si="67"/>
        <v>-1.5037732765676992E-6</v>
      </c>
      <c r="C411" s="12">
        <f t="shared" si="68"/>
        <v>49</v>
      </c>
      <c r="D411" s="12">
        <f t="shared" si="69"/>
        <v>0.74999909551417643</v>
      </c>
      <c r="E411" s="12">
        <f t="shared" si="70"/>
        <v>1.0173279108016686E-7</v>
      </c>
      <c r="F411" s="12">
        <f t="shared" si="71"/>
        <v>7</v>
      </c>
      <c r="G411" s="12">
        <f t="shared" si="72"/>
        <v>5.0002754150586019E-2</v>
      </c>
      <c r="H411" s="12">
        <f t="shared" si="73"/>
        <v>0</v>
      </c>
      <c r="I411" s="12">
        <f>2</f>
        <v>2</v>
      </c>
      <c r="J411" s="12">
        <f t="shared" si="74"/>
        <v>0.54999903447450382</v>
      </c>
      <c r="K411" s="12">
        <f t="shared" si="66"/>
        <v>1.2500000000820164E-2</v>
      </c>
      <c r="L411" s="12">
        <f t="shared" si="75"/>
        <v>0</v>
      </c>
      <c r="M411" s="7" t="str">
        <f t="shared" si="76"/>
        <v>yes</v>
      </c>
    </row>
    <row r="412" spans="1:13" x14ac:dyDescent="0.35">
      <c r="A412" s="7">
        <v>397</v>
      </c>
      <c r="B412" s="12">
        <f t="shared" si="67"/>
        <v>-1.5037732765676992E-6</v>
      </c>
      <c r="C412" s="12">
        <f t="shared" si="68"/>
        <v>49</v>
      </c>
      <c r="D412" s="12">
        <f t="shared" si="69"/>
        <v>0.74999909551417643</v>
      </c>
      <c r="E412" s="12">
        <f t="shared" si="70"/>
        <v>1.0173279108016686E-7</v>
      </c>
      <c r="F412" s="12">
        <f t="shared" si="71"/>
        <v>7</v>
      </c>
      <c r="G412" s="12">
        <f t="shared" si="72"/>
        <v>5.0002754150586019E-2</v>
      </c>
      <c r="H412" s="12">
        <f t="shared" si="73"/>
        <v>0</v>
      </c>
      <c r="I412" s="12">
        <f>2</f>
        <v>2</v>
      </c>
      <c r="J412" s="12">
        <f t="shared" si="74"/>
        <v>0.54999903447450382</v>
      </c>
      <c r="K412" s="12">
        <f t="shared" si="66"/>
        <v>1.2500000000820164E-2</v>
      </c>
      <c r="L412" s="12">
        <f t="shared" si="75"/>
        <v>0</v>
      </c>
      <c r="M412" s="7" t="str">
        <f t="shared" si="76"/>
        <v>yes</v>
      </c>
    </row>
    <row r="413" spans="1:13" x14ac:dyDescent="0.35">
      <c r="A413" s="7">
        <v>398</v>
      </c>
      <c r="B413" s="12">
        <f t="shared" si="67"/>
        <v>-1.5037732765676992E-6</v>
      </c>
      <c r="C413" s="12">
        <f t="shared" si="68"/>
        <v>49</v>
      </c>
      <c r="D413" s="12">
        <f t="shared" si="69"/>
        <v>0.74999909551417643</v>
      </c>
      <c r="E413" s="12">
        <f t="shared" si="70"/>
        <v>1.0173279108016686E-7</v>
      </c>
      <c r="F413" s="12">
        <f t="shared" si="71"/>
        <v>7</v>
      </c>
      <c r="G413" s="12">
        <f t="shared" si="72"/>
        <v>5.0002754150586019E-2</v>
      </c>
      <c r="H413" s="12">
        <f t="shared" si="73"/>
        <v>0</v>
      </c>
      <c r="I413" s="12">
        <f>2</f>
        <v>2</v>
      </c>
      <c r="J413" s="12">
        <f t="shared" si="74"/>
        <v>0.54999903447450382</v>
      </c>
      <c r="K413" s="12">
        <f t="shared" si="66"/>
        <v>1.2500000000820164E-2</v>
      </c>
      <c r="L413" s="12">
        <f t="shared" si="75"/>
        <v>0</v>
      </c>
      <c r="M413" s="7" t="str">
        <f t="shared" si="76"/>
        <v>yes</v>
      </c>
    </row>
    <row r="414" spans="1:13" x14ac:dyDescent="0.35">
      <c r="A414" s="7">
        <v>399</v>
      </c>
      <c r="B414" s="12">
        <f t="shared" si="67"/>
        <v>-1.5037732765676992E-6</v>
      </c>
      <c r="C414" s="12">
        <f t="shared" si="68"/>
        <v>49</v>
      </c>
      <c r="D414" s="12">
        <f t="shared" si="69"/>
        <v>0.74999909551417643</v>
      </c>
      <c r="E414" s="12">
        <f t="shared" si="70"/>
        <v>1.0173279108016686E-7</v>
      </c>
      <c r="F414" s="12">
        <f t="shared" si="71"/>
        <v>7</v>
      </c>
      <c r="G414" s="12">
        <f t="shared" si="72"/>
        <v>5.0002754150586019E-2</v>
      </c>
      <c r="H414" s="12">
        <f t="shared" si="73"/>
        <v>0</v>
      </c>
      <c r="I414" s="12">
        <f>2</f>
        <v>2</v>
      </c>
      <c r="J414" s="12">
        <f t="shared" si="74"/>
        <v>0.54999903447450382</v>
      </c>
      <c r="K414" s="12">
        <f t="shared" si="66"/>
        <v>1.2500000000820164E-2</v>
      </c>
      <c r="L414" s="12">
        <f t="shared" si="75"/>
        <v>0</v>
      </c>
      <c r="M414" s="7" t="str">
        <f t="shared" si="76"/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</vt:lpstr>
      <vt:lpstr>Parabola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Dylan Yeung</cp:lastModifiedBy>
  <cp:revision>0</cp:revision>
  <dcterms:created xsi:type="dcterms:W3CDTF">2026-09-29T18:13:54Z</dcterms:created>
  <dcterms:modified xsi:type="dcterms:W3CDTF">2026-09-29T20:00:27Z</dcterms:modified>
  <dc:language>en-US</dc:language>
</cp:coreProperties>
</file>